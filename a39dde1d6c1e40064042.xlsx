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kir\Downloads\"/>
    </mc:Choice>
  </mc:AlternateContent>
  <xr:revisionPtr revIDLastSave="0" documentId="13_ncr:1_{58922A8D-5C02-4A49-98D6-15694E372ED6}" xr6:coauthVersionLast="47" xr6:coauthVersionMax="47" xr10:uidLastSave="{00000000-0000-0000-0000-000000000000}"/>
  <bookViews>
    <workbookView xWindow="-108" yWindow="-108" windowWidth="23256" windowHeight="12456" activeTab="1" xr2:uid="{413B8157-5C01-499A-B2D9-8A738D644868}"/>
  </bookViews>
  <sheets>
    <sheet name="Sheet1" sheetId="1" r:id="rId1"/>
    <sheet name="Sheet 2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2" i="1"/>
</calcChain>
</file>

<file path=xl/sharedStrings.xml><?xml version="1.0" encoding="utf-8"?>
<sst xmlns="http://schemas.openxmlformats.org/spreadsheetml/2006/main" count="1593" uniqueCount="176">
  <si>
    <t>Student ID</t>
  </si>
  <si>
    <t xml:space="preserve">Gender </t>
  </si>
  <si>
    <t xml:space="preserve">Class/ Section </t>
  </si>
  <si>
    <t xml:space="preserve">Attendance </t>
  </si>
  <si>
    <t xml:space="preserve">Education </t>
  </si>
  <si>
    <t xml:space="preserve">Exam Term </t>
  </si>
  <si>
    <t xml:space="preserve">Maths </t>
  </si>
  <si>
    <t xml:space="preserve">English </t>
  </si>
  <si>
    <t>Science</t>
  </si>
  <si>
    <t xml:space="preserve">Marks Obtained </t>
  </si>
  <si>
    <t xml:space="preserve">Maximum Marks </t>
  </si>
  <si>
    <t xml:space="preserve">Percentage </t>
  </si>
  <si>
    <t xml:space="preserve">Rank </t>
  </si>
  <si>
    <t xml:space="preserve">Average </t>
  </si>
  <si>
    <t xml:space="preserve">Grade  </t>
  </si>
  <si>
    <t xml:space="preserve">Result 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</si>
  <si>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</si>
  <si>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</si>
  <si>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</si>
  <si>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</si>
  <si>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</si>
  <si>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</si>
  <si>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</si>
  <si>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</si>
  <si>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</si>
  <si>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</si>
  <si>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</si>
  <si>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</si>
  <si>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</si>
  <si>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</si>
  <si>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</si>
  <si>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</si>
  <si>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</si>
  <si>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</si>
  <si>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</si>
  <si>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</si>
  <si>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</si>
  <si>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</si>
  <si>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</si>
  <si>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</si>
  <si>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</si>
  <si>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</si>
  <si>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</si>
  <si>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</si>
  <si>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</si>
  <si>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</si>
  <si>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</si>
  <si>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</si>
  <si>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</si>
  <si>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</si>
  <si>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</si>
  <si>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</si>
  <si>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</si>
  <si>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</si>
  <si>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</si>
  <si>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</si>
  <si>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</si>
  <si>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</si>
  <si>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</si>
  <si>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</si>
  <si>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</si>
  <si>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</si>
  <si>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</si>
  <si>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</si>
  <si>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</si>
  <si>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</si>
  <si>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</si>
  <si>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</si>
  <si>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</si>
  <si>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</si>
  <si>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</si>
  <si>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</si>
  <si>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</si>
  <si>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</si>
  <si>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</si>
  <si>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</si>
  <si>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</si>
  <si>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</si>
  <si>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</si>
  <si>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</si>
  <si>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</si>
  <si>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</si>
  <si>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</si>
  <si>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</si>
  <si>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</si>
  <si>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</si>
  <si>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</si>
  <si>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</si>
  <si>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</si>
  <si>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</si>
  <si>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</si>
  <si>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</si>
  <si>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</si>
  <si>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</si>
  <si>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</si>
  <si>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</si>
  <si>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</si>
  <si>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</si>
  <si>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</si>
  <si>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</si>
  <si>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</si>
  <si>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</si>
  <si>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</si>
  <si>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</si>
  <si>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</si>
  <si>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</si>
  <si>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</si>
  <si>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</si>
  <si>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</si>
  <si>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</si>
  <si>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</si>
  <si>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</si>
  <si>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</si>
  <si>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</si>
  <si>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</si>
  <si>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</si>
  <si>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</si>
  <si>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</si>
  <si>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</si>
  <si>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</si>
  <si>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</si>
  <si>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</si>
  <si>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</si>
  <si>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</si>
  <si>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</si>
  <si>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</si>
  <si>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</si>
  <si>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</si>
  <si>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</si>
  <si>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</si>
  <si>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</si>
  <si>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</si>
  <si>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</si>
  <si>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</si>
  <si>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</si>
  <si>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</si>
  <si>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</si>
  <si>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</si>
  <si>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</si>
  <si>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</si>
  <si>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</si>
  <si>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</si>
  <si>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</si>
  <si>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</si>
  <si>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</si>
  <si>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</si>
  <si>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 xml:space="preserve">Male </t>
  </si>
  <si>
    <t xml:space="preserve">Female </t>
  </si>
  <si>
    <t xml:space="preserve">Group A </t>
  </si>
  <si>
    <t xml:space="preserve">Group B </t>
  </si>
  <si>
    <t xml:space="preserve">Group D </t>
  </si>
  <si>
    <t>Group C</t>
  </si>
  <si>
    <t xml:space="preserve">Group E </t>
  </si>
  <si>
    <t xml:space="preserve">High School </t>
  </si>
  <si>
    <t>Bachelor's Degree</t>
  </si>
  <si>
    <t>Associate's Degree</t>
  </si>
  <si>
    <t>Master's Degree</t>
  </si>
  <si>
    <t xml:space="preserve">Some College </t>
  </si>
  <si>
    <t xml:space="preserve">Completed </t>
  </si>
  <si>
    <t>Incomplete</t>
  </si>
  <si>
    <t>Row Labels</t>
  </si>
  <si>
    <t>Grand Total</t>
  </si>
  <si>
    <t xml:space="preserve">Sum of Maths </t>
  </si>
  <si>
    <t xml:space="preserve">Sum of English </t>
  </si>
  <si>
    <t>Sum of Science</t>
  </si>
  <si>
    <t xml:space="preserve">Sum of Average </t>
  </si>
  <si>
    <t>Pass</t>
  </si>
  <si>
    <t>Fail</t>
  </si>
  <si>
    <t>B</t>
  </si>
  <si>
    <t>D</t>
  </si>
  <si>
    <t>C</t>
  </si>
  <si>
    <t>A</t>
  </si>
  <si>
    <t>F</t>
  </si>
  <si>
    <t xml:space="preserve">Sum of Percentage </t>
  </si>
  <si>
    <t xml:space="preserve">Avarage of Marks 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</si>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</sst>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indent="3"/>
    </xf>
    <xf numFmtId="0" fontId="0" fillId="0" borderId="1" xfId="0" applyBorder="1" applyAlignment="1">
      <alignment horizontal="left" indent="4"/>
    </xf>
    <xf numFmtId="0" fontId="2" fillId="0" borderId="1" xfId="0" applyFont="1" applyBorder="1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4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[a39dde1d6c1e40064042.xlsx]Sheet 2!PivotTable5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'Sheet 2'!$B$2</c:f>
              <c:strCache>
                <c:ptCount val="1"/>
                <c:pt idx="0">
                  <c:v>Sum of Percentage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32-4CD9-B317-D5175FB44C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32-4CD9-B317-D5175FB44C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32-4CD9-B317-D5175FB44C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32-4CD9-B317-D5175FB44C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32-4CD9-B317-D5175FB44C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232-4CD9-B317-D5175FB44C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232-4CD9-B317-D5175FB44C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232-4CD9-B317-D5175FB44C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232-4CD9-B317-D5175FB44C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232-4CD9-B317-D5175FB44C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232-4CD9-B317-D5175FB44C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232-4CD9-B317-D5175FB44CF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232-4CD9-B317-D5175FB44CF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232-4CD9-B317-D5175FB44CF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232-4CD9-B317-D5175FB44CF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232-4CD9-B317-D5175FB44CF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232-4CD9-B317-D5175FB44CF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232-4CD9-B317-D5175FB44CF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232-4CD9-B317-D5175FB44CF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232-4CD9-B317-D5175FB44CF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232-4CD9-B317-D5175FB44CF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232-4CD9-B317-D5175FB44CF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232-4CD9-B317-D5175FB44CF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232-4CD9-B317-D5175FB44CF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232-4CD9-B317-D5175FB44CF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232-4CD9-B317-D5175FB44CF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232-4CD9-B317-D5175FB44CF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232-4CD9-B317-D5175FB44CF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232-4CD9-B317-D5175FB44CF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232-4CD9-B317-D5175FB44CF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232-4CD9-B317-D5175FB44CFD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232-4CD9-B317-D5175FB44CFD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232-4CD9-B317-D5175FB44CFD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232-4CD9-B317-D5175FB44CFD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232-4CD9-B317-D5175FB44CFD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232-4CD9-B317-D5175FB44CFD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A232-4CD9-B317-D5175FB44CFD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A232-4CD9-B317-D5175FB44CFD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A232-4CD9-B317-D5175FB44CFD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232-4CD9-B317-D5175FB44CFD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232-4CD9-B317-D5175FB44CFD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A232-4CD9-B317-D5175FB44CFD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A232-4CD9-B317-D5175FB44CFD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A232-4CD9-B317-D5175FB44CFD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A232-4CD9-B317-D5175FB44CFD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A232-4CD9-B317-D5175FB44CFD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232-4CD9-B317-D5175FB44CFD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232-4CD9-B317-D5175FB44CFD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232-4CD9-B317-D5175FB44CFD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232-4CD9-B317-D5175FB44CFD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A232-4CD9-B317-D5175FB44CFD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A232-4CD9-B317-D5175FB44CFD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A232-4CD9-B317-D5175FB44CFD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A232-4CD9-B317-D5175FB44CFD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A232-4CD9-B317-D5175FB44CFD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A232-4CD9-B317-D5175FB44CFD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A232-4CD9-B317-D5175FB44CFD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A232-4CD9-B317-D5175FB44CFD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A232-4CD9-B317-D5175FB44CFD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A232-4CD9-B317-D5175FB44CFD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A232-4CD9-B317-D5175FB44CFD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A232-4CD9-B317-D5175FB44CFD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A232-4CD9-B317-D5175FB44CFD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A232-4CD9-B317-D5175FB44CFD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A232-4CD9-B317-D5175FB44CFD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A232-4CD9-B317-D5175FB44CFD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A232-4CD9-B317-D5175FB44CFD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A232-4CD9-B317-D5175FB44CFD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A232-4CD9-B317-D5175FB44CFD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A232-4CD9-B317-D5175FB44CFD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A232-4CD9-B317-D5175FB44CFD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A232-4CD9-B317-D5175FB44CFD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A232-4CD9-B317-D5175FB44CFD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A232-4CD9-B317-D5175FB44CFD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A232-4CD9-B317-D5175FB44CFD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A232-4CD9-B317-D5175FB44CFD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A232-4CD9-B317-D5175FB44CFD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A232-4CD9-B317-D5175FB44CFD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A232-4CD9-B317-D5175FB44CFD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A232-4CD9-B317-D5175FB44CFD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A232-4CD9-B317-D5175FB44CFD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A232-4CD9-B317-D5175FB44CFD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A232-4CD9-B317-D5175FB44CFD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A232-4CD9-B317-D5175FB44CFD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A232-4CD9-B317-D5175FB44CFD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A232-4CD9-B317-D5175FB44CFD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A232-4CD9-B317-D5175FB44CFD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A232-4CD9-B317-D5175FB44CFD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A232-4CD9-B317-D5175FB44CFD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A232-4CD9-B317-D5175FB44CFD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A232-4CD9-B317-D5175FB44CFD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A232-4CD9-B317-D5175FB44CFD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A232-4CD9-B317-D5175FB44CFD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A232-4CD9-B317-D5175FB44CFD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A232-4CD9-B317-D5175FB44CFD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A232-4CD9-B317-D5175FB44CFD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A232-4CD9-B317-D5175FB44CFD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A232-4CD9-B317-D5175FB44CFD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A232-4CD9-B317-D5175FB44CFD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A232-4CD9-B317-D5175FB44CFD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A232-4CD9-B317-D5175FB44CFD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A232-4CD9-B317-D5175FB44CFD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A232-4CD9-B317-D5175FB44CFD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A232-4CD9-B317-D5175FB44CFD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A232-4CD9-B317-D5175FB44CFD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A232-4CD9-B317-D5175FB44CFD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A232-4CD9-B317-D5175FB44CFD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A232-4CD9-B317-D5175FB44CFD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A232-4CD9-B317-D5175FB44CFD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A232-4CD9-B317-D5175FB44CFD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A232-4CD9-B317-D5175FB44CFD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A232-4CD9-B317-D5175FB44CFD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A232-4CD9-B317-D5175FB44CFD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A232-4CD9-B317-D5175FB44CFD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A232-4CD9-B317-D5175FB44CFD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A232-4CD9-B317-D5175FB44CFD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A232-4CD9-B317-D5175FB44CFD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A232-4CD9-B317-D5175FB44CFD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A232-4CD9-B317-D5175FB44CFD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A232-4CD9-B317-D5175FB44CFD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A232-4CD9-B317-D5175FB44CFD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A232-4CD9-B317-D5175FB44CFD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A232-4CD9-B317-D5175FB44CFD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A232-4CD9-B317-D5175FB44CFD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A232-4CD9-B317-D5175FB44CFD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A232-4CD9-B317-D5175FB44CFD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A232-4CD9-B317-D5175FB44CFD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A232-4CD9-B317-D5175FB44CFD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A232-4CD9-B317-D5175FB44CFD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A232-4CD9-B317-D5175FB44CFD}"/>
              </c:ext>
            </c:extLst>
          </c:dPt>
          <c:cat>
            <c:multiLvlStrRef>
              <c:f>'Sheet 2'!$A$3:$A$653</c:f>
              <c:multiLvlStrCache>
                <c:ptCount val="130"/>
                <c:lvl>
                  <c:pt idx="0">
                    <c:v>Pass</c:v>
                  </c:pt>
                  <c:pt idx="1">
                    <c:v>Pass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Pass</c:v>
                  </c:pt>
                  <c:pt idx="6">
                    <c:v>Pass</c:v>
                  </c:pt>
                  <c:pt idx="7">
                    <c:v>Pass</c:v>
                  </c:pt>
                  <c:pt idx="8">
                    <c:v>Pass</c:v>
                  </c:pt>
                  <c:pt idx="9">
                    <c:v>Pass</c:v>
                  </c:pt>
                  <c:pt idx="10">
                    <c:v>Pass</c:v>
                  </c:pt>
                  <c:pt idx="11">
                    <c:v>Pass</c:v>
                  </c:pt>
                  <c:pt idx="12">
                    <c:v>Pass</c:v>
                  </c:pt>
                  <c:pt idx="13">
                    <c:v>Pass</c:v>
                  </c:pt>
                  <c:pt idx="14">
                    <c:v>Pass</c:v>
                  </c:pt>
                  <c:pt idx="15">
                    <c:v>Pass</c:v>
                  </c:pt>
                  <c:pt idx="16">
                    <c:v>Pass</c:v>
                  </c:pt>
                  <c:pt idx="17">
                    <c:v>Pass</c:v>
                  </c:pt>
                  <c:pt idx="18">
                    <c:v>Pass</c:v>
                  </c:pt>
                  <c:pt idx="19">
                    <c:v>Pass</c:v>
                  </c:pt>
                  <c:pt idx="20">
                    <c:v>Pass</c:v>
                  </c:pt>
                  <c:pt idx="21">
                    <c:v>Pass</c:v>
                  </c:pt>
                  <c:pt idx="22">
                    <c:v>Pass</c:v>
                  </c:pt>
                  <c:pt idx="23">
                    <c:v>Pass</c:v>
                  </c:pt>
                  <c:pt idx="24">
                    <c:v>Pass</c:v>
                  </c:pt>
                  <c:pt idx="25">
                    <c:v>Pass</c:v>
                  </c:pt>
                  <c:pt idx="26">
                    <c:v>Pass</c:v>
                  </c:pt>
                  <c:pt idx="27">
                    <c:v>Pass</c:v>
                  </c:pt>
                  <c:pt idx="28">
                    <c:v>Pass</c:v>
                  </c:pt>
                  <c:pt idx="29">
                    <c:v>Pass</c:v>
                  </c:pt>
                  <c:pt idx="30">
                    <c:v>Pass</c:v>
                  </c:pt>
                  <c:pt idx="31">
                    <c:v>Pass</c:v>
                  </c:pt>
                  <c:pt idx="32">
                    <c:v>Pass</c:v>
                  </c:pt>
                  <c:pt idx="33">
                    <c:v>Pass</c:v>
                  </c:pt>
                  <c:pt idx="34">
                    <c:v>Pass</c:v>
                  </c:pt>
                  <c:pt idx="35">
                    <c:v>Pass</c:v>
                  </c:pt>
                  <c:pt idx="36">
                    <c:v>Pass</c:v>
                  </c:pt>
                  <c:pt idx="37">
                    <c:v>Pass</c:v>
                  </c:pt>
                  <c:pt idx="38">
                    <c:v>Pass</c:v>
                  </c:pt>
                  <c:pt idx="39">
                    <c:v>Pass</c:v>
                  </c:pt>
                  <c:pt idx="40">
                    <c:v>Pass</c:v>
                  </c:pt>
                  <c:pt idx="41">
                    <c:v>Pass</c:v>
                  </c:pt>
                  <c:pt idx="42">
                    <c:v>Pass</c:v>
                  </c:pt>
                  <c:pt idx="43">
                    <c:v>Pass</c:v>
                  </c:pt>
                  <c:pt idx="44">
                    <c:v>Pass</c:v>
                  </c:pt>
                  <c:pt idx="45">
                    <c:v>Pass</c:v>
                  </c:pt>
                  <c:pt idx="46">
                    <c:v>Pass</c:v>
                  </c:pt>
                  <c:pt idx="47">
                    <c:v>Pass</c:v>
                  </c:pt>
                  <c:pt idx="48">
                    <c:v>Pass</c:v>
                  </c:pt>
                  <c:pt idx="49">
                    <c:v>Pass</c:v>
                  </c:pt>
                  <c:pt idx="50">
                    <c:v>Pass</c:v>
                  </c:pt>
                  <c:pt idx="51">
                    <c:v>Pass</c:v>
                  </c:pt>
                  <c:pt idx="52">
                    <c:v>Pass</c:v>
                  </c:pt>
                  <c:pt idx="53">
                    <c:v>Pass</c:v>
                  </c:pt>
                  <c:pt idx="54">
                    <c:v>Pass</c:v>
                  </c:pt>
                  <c:pt idx="55">
                    <c:v>Pass</c:v>
                  </c:pt>
                  <c:pt idx="56">
                    <c:v>Pass</c:v>
                  </c:pt>
                  <c:pt idx="57">
                    <c:v>Pass</c:v>
                  </c:pt>
                  <c:pt idx="58">
                    <c:v>Pass</c:v>
                  </c:pt>
                  <c:pt idx="59">
                    <c:v>Pass</c:v>
                  </c:pt>
                  <c:pt idx="60">
                    <c:v>Pass</c:v>
                  </c:pt>
                  <c:pt idx="61">
                    <c:v>Pass</c:v>
                  </c:pt>
                  <c:pt idx="62">
                    <c:v>Pass</c:v>
                  </c:pt>
                  <c:pt idx="63">
                    <c:v>Pass</c:v>
                  </c:pt>
                  <c:pt idx="64">
                    <c:v>Pass</c:v>
                  </c:pt>
                  <c:pt idx="65">
                    <c:v>Pass</c:v>
                  </c:pt>
                  <c:pt idx="66">
                    <c:v>Pass</c:v>
                  </c:pt>
                  <c:pt idx="67">
                    <c:v>Pass</c:v>
                  </c:pt>
                  <c:pt idx="68">
                    <c:v>Pass</c:v>
                  </c:pt>
                  <c:pt idx="69">
                    <c:v>Pass</c:v>
                  </c:pt>
                  <c:pt idx="70">
                    <c:v>Pass</c:v>
                  </c:pt>
                  <c:pt idx="71">
                    <c:v>Pass</c:v>
                  </c:pt>
                  <c:pt idx="72">
                    <c:v>Pass</c:v>
                  </c:pt>
                  <c:pt idx="73">
                    <c:v>Pass</c:v>
                  </c:pt>
                  <c:pt idx="74">
                    <c:v>Pass</c:v>
                  </c:pt>
                  <c:pt idx="75">
                    <c:v>Pass</c:v>
                  </c:pt>
                  <c:pt idx="76">
                    <c:v>Fail</c:v>
                  </c:pt>
                  <c:pt idx="77">
                    <c:v>Pass</c:v>
                  </c:pt>
                  <c:pt idx="78">
                    <c:v>Pass</c:v>
                  </c:pt>
                  <c:pt idx="79">
                    <c:v>Pass</c:v>
                  </c:pt>
                  <c:pt idx="80">
                    <c:v>Pass</c:v>
                  </c:pt>
                  <c:pt idx="81">
                    <c:v>Fail</c:v>
                  </c:pt>
                  <c:pt idx="82">
                    <c:v>Pass</c:v>
                  </c:pt>
                  <c:pt idx="83">
                    <c:v>Pass</c:v>
                  </c:pt>
                  <c:pt idx="84">
                    <c:v>Pass</c:v>
                  </c:pt>
                  <c:pt idx="85">
                    <c:v>Pass</c:v>
                  </c:pt>
                  <c:pt idx="86">
                    <c:v>Pass</c:v>
                  </c:pt>
                  <c:pt idx="87">
                    <c:v>Pass</c:v>
                  </c:pt>
                  <c:pt idx="88">
                    <c:v>Pass</c:v>
                  </c:pt>
                  <c:pt idx="89">
                    <c:v>Pass</c:v>
                  </c:pt>
                  <c:pt idx="90">
                    <c:v>Pass</c:v>
                  </c:pt>
                  <c:pt idx="91">
                    <c:v>Pass</c:v>
                  </c:pt>
                  <c:pt idx="92">
                    <c:v>Pass</c:v>
                  </c:pt>
                  <c:pt idx="93">
                    <c:v>Pass</c:v>
                  </c:pt>
                  <c:pt idx="94">
                    <c:v>Pass</c:v>
                  </c:pt>
                  <c:pt idx="95">
                    <c:v>Pass</c:v>
                  </c:pt>
                  <c:pt idx="96">
                    <c:v>Pass</c:v>
                  </c:pt>
                  <c:pt idx="97">
                    <c:v>Pass</c:v>
                  </c:pt>
                  <c:pt idx="98">
                    <c:v>Pass</c:v>
                  </c:pt>
                  <c:pt idx="99">
                    <c:v>Pass</c:v>
                  </c:pt>
                  <c:pt idx="100">
                    <c:v>Pass</c:v>
                  </c:pt>
                  <c:pt idx="101">
                    <c:v>Pass</c:v>
                  </c:pt>
                  <c:pt idx="102">
                    <c:v>Pass</c:v>
                  </c:pt>
                  <c:pt idx="103">
                    <c:v>Pass</c:v>
                  </c:pt>
                  <c:pt idx="104">
                    <c:v>Pass</c:v>
                  </c:pt>
                  <c:pt idx="105">
                    <c:v>Pass</c:v>
                  </c:pt>
                  <c:pt idx="106">
                    <c:v>Pass</c:v>
                  </c:pt>
                  <c:pt idx="107">
                    <c:v>Pass</c:v>
                  </c:pt>
                  <c:pt idx="108">
                    <c:v>Pass</c:v>
                  </c:pt>
                  <c:pt idx="109">
                    <c:v>Pass</c:v>
                  </c:pt>
                  <c:pt idx="110">
                    <c:v>Pass</c:v>
                  </c:pt>
                  <c:pt idx="111">
                    <c:v>Pass</c:v>
                  </c:pt>
                  <c:pt idx="112">
                    <c:v>Pass</c:v>
                  </c:pt>
                  <c:pt idx="113">
                    <c:v>Pass</c:v>
                  </c:pt>
                  <c:pt idx="114">
                    <c:v>Pass</c:v>
                  </c:pt>
                  <c:pt idx="115">
                    <c:v>Pass</c:v>
                  </c:pt>
                  <c:pt idx="116">
                    <c:v>Pass</c:v>
                  </c:pt>
                  <c:pt idx="117">
                    <c:v>Pass</c:v>
                  </c:pt>
                  <c:pt idx="118">
                    <c:v>Pass</c:v>
                  </c:pt>
                  <c:pt idx="119">
                    <c:v>Pass</c:v>
                  </c:pt>
                  <c:pt idx="120">
                    <c:v>Pass</c:v>
                  </c:pt>
                  <c:pt idx="121">
                    <c:v>Pass</c:v>
                  </c:pt>
                  <c:pt idx="122">
                    <c:v>Pass</c:v>
                  </c:pt>
                  <c:pt idx="123">
                    <c:v>Pass</c:v>
                  </c:pt>
                  <c:pt idx="124">
                    <c:v>Pass</c:v>
                  </c:pt>
                  <c:pt idx="125">
                    <c:v>Pass</c:v>
                  </c:pt>
                  <c:pt idx="126">
                    <c:v>Pass</c:v>
                  </c:pt>
                  <c:pt idx="127">
                    <c:v>Pass</c:v>
                  </c:pt>
                  <c:pt idx="128">
                    <c:v>Pass</c:v>
                  </c:pt>
                  <c:pt idx="129">
                    <c:v>Pass</c:v>
                  </c:pt>
                </c:lvl>
                <c:lvl>
                  <c:pt idx="0">
                    <c:v>B</c:v>
                  </c:pt>
                  <c:pt idx="1">
                    <c:v>D</c:v>
                  </c:pt>
                  <c:pt idx="2">
                    <c:v>B</c:v>
                  </c:pt>
                  <c:pt idx="3">
                    <c:v>C</c:v>
                  </c:pt>
                  <c:pt idx="4">
                    <c:v>C</c:v>
                  </c:pt>
                  <c:pt idx="5">
                    <c:v>B</c:v>
                  </c:pt>
                  <c:pt idx="6">
                    <c:v>D</c:v>
                  </c:pt>
                  <c:pt idx="7">
                    <c:v>C</c:v>
                  </c:pt>
                  <c:pt idx="8">
                    <c:v>C</c:v>
                  </c:pt>
                  <c:pt idx="9">
                    <c:v>C</c:v>
                  </c:pt>
                  <c:pt idx="10">
                    <c:v>A</c:v>
                  </c:pt>
                  <c:pt idx="11">
                    <c:v>C</c:v>
                  </c:pt>
                  <c:pt idx="12">
                    <c:v>C</c:v>
                  </c:pt>
                  <c:pt idx="13">
                    <c:v>D</c:v>
                  </c:pt>
                  <c:pt idx="14">
                    <c:v>B</c:v>
                  </c:pt>
                  <c:pt idx="15">
                    <c:v>D</c:v>
                  </c:pt>
                  <c:pt idx="16">
                    <c:v>C</c:v>
                  </c:pt>
                  <c:pt idx="17">
                    <c:v>D</c:v>
                  </c:pt>
                  <c:pt idx="18">
                    <c:v>D</c:v>
                  </c:pt>
                  <c:pt idx="19">
                    <c:v>D</c:v>
                  </c:pt>
                  <c:pt idx="20">
                    <c:v>B</c:v>
                  </c:pt>
                  <c:pt idx="21">
                    <c:v>B</c:v>
                  </c:pt>
                  <c:pt idx="22">
                    <c:v>D</c:v>
                  </c:pt>
                  <c:pt idx="23">
                    <c:v>D</c:v>
                  </c:pt>
                  <c:pt idx="24">
                    <c:v>B</c:v>
                  </c:pt>
                  <c:pt idx="25">
                    <c:v>C</c:v>
                  </c:pt>
                  <c:pt idx="26">
                    <c:v>B</c:v>
                  </c:pt>
                  <c:pt idx="27">
                    <c:v>C</c:v>
                  </c:pt>
                  <c:pt idx="28">
                    <c:v>D</c:v>
                  </c:pt>
                  <c:pt idx="29">
                    <c:v>C</c:v>
                  </c:pt>
                  <c:pt idx="30">
                    <c:v>C</c:v>
                  </c:pt>
                  <c:pt idx="31">
                    <c:v>B</c:v>
                  </c:pt>
                  <c:pt idx="32">
                    <c:v>C</c:v>
                  </c:pt>
                  <c:pt idx="33">
                    <c:v>C</c:v>
                  </c:pt>
                  <c:pt idx="34">
                    <c:v>C</c:v>
                  </c:pt>
                  <c:pt idx="35">
                    <c:v>B</c:v>
                  </c:pt>
                  <c:pt idx="36">
                    <c:v>C</c:v>
                  </c:pt>
                  <c:pt idx="37">
                    <c:v>C</c:v>
                  </c:pt>
                  <c:pt idx="38">
                    <c:v>C</c:v>
                  </c:pt>
                  <c:pt idx="39">
                    <c:v>C</c:v>
                  </c:pt>
                  <c:pt idx="40">
                    <c:v>C</c:v>
                  </c:pt>
                  <c:pt idx="41">
                    <c:v>C</c:v>
                  </c:pt>
                  <c:pt idx="42">
                    <c:v>C</c:v>
                  </c:pt>
                  <c:pt idx="43">
                    <c:v>D</c:v>
                  </c:pt>
                  <c:pt idx="44">
                    <c:v>C</c:v>
                  </c:pt>
                  <c:pt idx="45">
                    <c:v>D</c:v>
                  </c:pt>
                  <c:pt idx="46">
                    <c:v>B</c:v>
                  </c:pt>
                  <c:pt idx="47">
                    <c:v>B</c:v>
                  </c:pt>
                  <c:pt idx="48">
                    <c:v>A</c:v>
                  </c:pt>
                  <c:pt idx="49">
                    <c:v>C</c:v>
                  </c:pt>
                  <c:pt idx="50">
                    <c:v>C</c:v>
                  </c:pt>
                  <c:pt idx="51">
                    <c:v>C</c:v>
                  </c:pt>
                  <c:pt idx="52">
                    <c:v>C</c:v>
                  </c:pt>
                  <c:pt idx="53">
                    <c:v>B</c:v>
                  </c:pt>
                  <c:pt idx="54">
                    <c:v>C</c:v>
                  </c:pt>
                  <c:pt idx="55">
                    <c:v>C</c:v>
                  </c:pt>
                  <c:pt idx="56">
                    <c:v>C</c:v>
                  </c:pt>
                  <c:pt idx="57">
                    <c:v>C</c:v>
                  </c:pt>
                  <c:pt idx="58">
                    <c:v>B</c:v>
                  </c:pt>
                  <c:pt idx="59">
                    <c:v>B</c:v>
                  </c:pt>
                  <c:pt idx="60">
                    <c:v>C</c:v>
                  </c:pt>
                  <c:pt idx="61">
                    <c:v>C</c:v>
                  </c:pt>
                  <c:pt idx="62">
                    <c:v>C</c:v>
                  </c:pt>
                  <c:pt idx="63">
                    <c:v>C</c:v>
                  </c:pt>
                  <c:pt idx="64">
                    <c:v>B</c:v>
                  </c:pt>
                  <c:pt idx="65">
                    <c:v>C</c:v>
                  </c:pt>
                  <c:pt idx="66">
                    <c:v>D</c:v>
                  </c:pt>
                  <c:pt idx="67">
                    <c:v>C</c:v>
                  </c:pt>
                  <c:pt idx="68">
                    <c:v>B</c:v>
                  </c:pt>
                  <c:pt idx="69">
                    <c:v>B</c:v>
                  </c:pt>
                  <c:pt idx="70">
                    <c:v>C</c:v>
                  </c:pt>
                  <c:pt idx="71">
                    <c:v>C</c:v>
                  </c:pt>
                  <c:pt idx="72">
                    <c:v>B</c:v>
                  </c:pt>
                  <c:pt idx="73">
                    <c:v>B</c:v>
                  </c:pt>
                  <c:pt idx="74">
                    <c:v>D</c:v>
                  </c:pt>
                  <c:pt idx="75">
                    <c:v>D</c:v>
                  </c:pt>
                  <c:pt idx="76">
                    <c:v>F</c:v>
                  </c:pt>
                  <c:pt idx="77">
                    <c:v>C</c:v>
                  </c:pt>
                  <c:pt idx="78">
                    <c:v>B</c:v>
                  </c:pt>
                  <c:pt idx="79">
                    <c:v>D</c:v>
                  </c:pt>
                  <c:pt idx="80">
                    <c:v>C</c:v>
                  </c:pt>
                  <c:pt idx="81">
                    <c:v>F</c:v>
                  </c:pt>
                  <c:pt idx="82">
                    <c:v>C</c:v>
                  </c:pt>
                  <c:pt idx="83">
                    <c:v>C</c:v>
                  </c:pt>
                  <c:pt idx="84">
                    <c:v>C</c:v>
                  </c:pt>
                  <c:pt idx="85">
                    <c:v>B</c:v>
                  </c:pt>
                  <c:pt idx="86">
                    <c:v>C</c:v>
                  </c:pt>
                  <c:pt idx="87">
                    <c:v>B</c:v>
                  </c:pt>
                  <c:pt idx="88">
                    <c:v>C</c:v>
                  </c:pt>
                  <c:pt idx="89">
                    <c:v>B</c:v>
                  </c:pt>
                  <c:pt idx="90">
                    <c:v>C</c:v>
                  </c:pt>
                  <c:pt idx="91">
                    <c:v>D</c:v>
                  </c:pt>
                  <c:pt idx="92">
                    <c:v>D</c:v>
                  </c:pt>
                  <c:pt idx="93">
                    <c:v>D</c:v>
                  </c:pt>
                  <c:pt idx="94">
                    <c:v>B</c:v>
                  </c:pt>
                  <c:pt idx="95">
                    <c:v>B</c:v>
                  </c:pt>
                  <c:pt idx="96">
                    <c:v>B</c:v>
                  </c:pt>
                  <c:pt idx="97">
                    <c:v>D</c:v>
                  </c:pt>
                  <c:pt idx="98">
                    <c:v>C</c:v>
                  </c:pt>
                  <c:pt idx="99">
                    <c:v>C</c:v>
                  </c:pt>
                  <c:pt idx="100">
                    <c:v>C</c:v>
                  </c:pt>
                  <c:pt idx="101">
                    <c:v>B</c:v>
                  </c:pt>
                  <c:pt idx="102">
                    <c:v>B</c:v>
                  </c:pt>
                  <c:pt idx="103">
                    <c:v>B</c:v>
                  </c:pt>
                  <c:pt idx="104">
                    <c:v>C</c:v>
                  </c:pt>
                  <c:pt idx="105">
                    <c:v>C</c:v>
                  </c:pt>
                  <c:pt idx="106">
                    <c:v>C</c:v>
                  </c:pt>
                  <c:pt idx="107">
                    <c:v>C</c:v>
                  </c:pt>
                  <c:pt idx="108">
                    <c:v>D</c:v>
                  </c:pt>
                  <c:pt idx="109">
                    <c:v>C</c:v>
                  </c:pt>
                  <c:pt idx="110">
                    <c:v>D</c:v>
                  </c:pt>
                  <c:pt idx="111">
                    <c:v>C</c:v>
                  </c:pt>
                  <c:pt idx="112">
                    <c:v>C</c:v>
                  </c:pt>
                  <c:pt idx="113">
                    <c:v>B</c:v>
                  </c:pt>
                  <c:pt idx="114">
                    <c:v>B</c:v>
                  </c:pt>
                  <c:pt idx="115">
                    <c:v>B</c:v>
                  </c:pt>
                  <c:pt idx="116">
                    <c:v>D</c:v>
                  </c:pt>
                  <c:pt idx="117">
                    <c:v>D</c:v>
                  </c:pt>
                  <c:pt idx="118">
                    <c:v>B</c:v>
                  </c:pt>
                  <c:pt idx="119">
                    <c:v>C</c:v>
                  </c:pt>
                  <c:pt idx="120">
                    <c:v>C</c:v>
                  </c:pt>
                  <c:pt idx="121">
                    <c:v>B</c:v>
                  </c:pt>
                  <c:pt idx="122">
                    <c:v>D</c:v>
                  </c:pt>
                  <c:pt idx="123">
                    <c:v>C</c:v>
                  </c:pt>
                  <c:pt idx="124">
                    <c:v>D</c:v>
                  </c:pt>
                  <c:pt idx="125">
                    <c:v>C</c:v>
                  </c:pt>
                  <c:pt idx="126">
                    <c:v>C</c:v>
                  </c:pt>
                  <c:pt idx="127">
                    <c:v>C</c:v>
                  </c:pt>
                  <c:pt idx="128">
                    <c:v>C</c:v>
                  </c:pt>
                  <c:pt idx="129">
                    <c:v>B</c:v>
                  </c:pt>
                </c:lvl>
                <c:lvl>
                  <c:pt idx="0">
                    <c:v>Completed </c:v>
                  </c:pt>
                  <c:pt idx="1">
                    <c:v>Incomplete</c:v>
                  </c:pt>
                  <c:pt idx="2">
                    <c:v>Completed </c:v>
                  </c:pt>
                  <c:pt idx="3">
                    <c:v>Incomplete</c:v>
                  </c:pt>
                  <c:pt idx="4">
                    <c:v>Completed </c:v>
                  </c:pt>
                  <c:pt idx="5">
                    <c:v>Incomplete</c:v>
                  </c:pt>
                  <c:pt idx="6">
                    <c:v>Completed </c:v>
                  </c:pt>
                  <c:pt idx="7">
                    <c:v>Incomplete</c:v>
                  </c:pt>
                  <c:pt idx="8">
                    <c:v>Completed </c:v>
                  </c:pt>
                  <c:pt idx="9">
                    <c:v>Completed </c:v>
                  </c:pt>
                  <c:pt idx="10">
                    <c:v>Incomplete</c:v>
                  </c:pt>
                  <c:pt idx="11">
                    <c:v>Completed </c:v>
                  </c:pt>
                  <c:pt idx="12">
                    <c:v>Incomplete</c:v>
                  </c:pt>
                  <c:pt idx="13">
                    <c:v>Completed </c:v>
                  </c:pt>
                  <c:pt idx="14">
                    <c:v>Completed </c:v>
                  </c:pt>
                  <c:pt idx="15">
                    <c:v>Completed </c:v>
                  </c:pt>
                  <c:pt idx="16">
                    <c:v>Incomplete</c:v>
                  </c:pt>
                  <c:pt idx="17">
                    <c:v>Incomplete</c:v>
                  </c:pt>
                  <c:pt idx="18">
                    <c:v>Completed </c:v>
                  </c:pt>
                  <c:pt idx="19">
                    <c:v>Incomplete</c:v>
                  </c:pt>
                  <c:pt idx="20">
                    <c:v>Completed </c:v>
                  </c:pt>
                  <c:pt idx="21">
                    <c:v>Incomplete</c:v>
                  </c:pt>
                  <c:pt idx="22">
                    <c:v>Completed </c:v>
                  </c:pt>
                  <c:pt idx="23">
                    <c:v>Incomplete</c:v>
                  </c:pt>
                  <c:pt idx="24">
                    <c:v>Completed </c:v>
                  </c:pt>
                  <c:pt idx="25">
                    <c:v>Completed </c:v>
                  </c:pt>
                  <c:pt idx="26">
                    <c:v>Completed </c:v>
                  </c:pt>
                  <c:pt idx="27">
                    <c:v>Incomplete</c:v>
                  </c:pt>
                  <c:pt idx="28">
                    <c:v>Completed </c:v>
                  </c:pt>
                  <c:pt idx="29">
                    <c:v>Incomplete</c:v>
                  </c:pt>
                  <c:pt idx="30">
                    <c:v>Completed </c:v>
                  </c:pt>
                  <c:pt idx="31">
                    <c:v>Incomplete</c:v>
                  </c:pt>
                  <c:pt idx="32">
                    <c:v>Completed </c:v>
                  </c:pt>
                  <c:pt idx="33">
                    <c:v>Incomplete</c:v>
                  </c:pt>
                  <c:pt idx="34">
                    <c:v>Completed </c:v>
                  </c:pt>
                  <c:pt idx="35">
                    <c:v>Completed </c:v>
                  </c:pt>
                  <c:pt idx="36">
                    <c:v>Completed </c:v>
                  </c:pt>
                  <c:pt idx="37">
                    <c:v>Incomplete</c:v>
                  </c:pt>
                  <c:pt idx="38">
                    <c:v>Completed </c:v>
                  </c:pt>
                  <c:pt idx="39">
                    <c:v>Completed </c:v>
                  </c:pt>
                  <c:pt idx="40">
                    <c:v>Incomplete</c:v>
                  </c:pt>
                  <c:pt idx="41">
                    <c:v>Incomplete</c:v>
                  </c:pt>
                  <c:pt idx="42">
                    <c:v>Incomplete</c:v>
                  </c:pt>
                  <c:pt idx="43">
                    <c:v>Completed </c:v>
                  </c:pt>
                  <c:pt idx="44">
                    <c:v>Incomplete</c:v>
                  </c:pt>
                  <c:pt idx="45">
                    <c:v>Incomplete</c:v>
                  </c:pt>
                  <c:pt idx="46">
                    <c:v>Completed </c:v>
                  </c:pt>
                  <c:pt idx="47">
                    <c:v>Incomplete</c:v>
                  </c:pt>
                  <c:pt idx="48">
                    <c:v>Incomplete</c:v>
                  </c:pt>
                  <c:pt idx="49">
                    <c:v>Completed </c:v>
                  </c:pt>
                  <c:pt idx="50">
                    <c:v>Incomplete</c:v>
                  </c:pt>
                  <c:pt idx="51">
                    <c:v>Completed </c:v>
                  </c:pt>
                  <c:pt idx="52">
                    <c:v>Incomplete</c:v>
                  </c:pt>
                  <c:pt idx="53">
                    <c:v>Completed </c:v>
                  </c:pt>
                  <c:pt idx="54">
                    <c:v>Incomplete</c:v>
                  </c:pt>
                  <c:pt idx="55">
                    <c:v>Completed </c:v>
                  </c:pt>
                  <c:pt idx="56">
                    <c:v>Incomplete</c:v>
                  </c:pt>
                  <c:pt idx="57">
                    <c:v>Completed </c:v>
                  </c:pt>
                  <c:pt idx="58">
                    <c:v>Incomplete</c:v>
                  </c:pt>
                  <c:pt idx="59">
                    <c:v>Completed </c:v>
                  </c:pt>
                  <c:pt idx="60">
                    <c:v>Completed </c:v>
                  </c:pt>
                  <c:pt idx="61">
                    <c:v>Completed </c:v>
                  </c:pt>
                  <c:pt idx="62">
                    <c:v>Completed </c:v>
                  </c:pt>
                  <c:pt idx="63">
                    <c:v>Incomplete</c:v>
                  </c:pt>
                  <c:pt idx="64">
                    <c:v>Incomplete</c:v>
                  </c:pt>
                  <c:pt idx="65">
                    <c:v>Completed </c:v>
                  </c:pt>
                  <c:pt idx="66">
                    <c:v>Completed </c:v>
                  </c:pt>
                  <c:pt idx="67">
                    <c:v>Incomplete</c:v>
                  </c:pt>
                  <c:pt idx="68">
                    <c:v>Completed </c:v>
                  </c:pt>
                  <c:pt idx="69">
                    <c:v>Completed </c:v>
                  </c:pt>
                  <c:pt idx="70">
                    <c:v>Completed </c:v>
                  </c:pt>
                  <c:pt idx="71">
                    <c:v>Incomplete</c:v>
                  </c:pt>
                  <c:pt idx="72">
                    <c:v>Incomplete</c:v>
                  </c:pt>
                  <c:pt idx="73">
                    <c:v>Incomplete</c:v>
                  </c:pt>
                  <c:pt idx="74">
                    <c:v>Completed </c:v>
                  </c:pt>
                  <c:pt idx="75">
                    <c:v>Completed </c:v>
                  </c:pt>
                  <c:pt idx="76">
                    <c:v>Incomplete</c:v>
                  </c:pt>
                  <c:pt idx="77">
                    <c:v>Incomplete</c:v>
                  </c:pt>
                  <c:pt idx="78">
                    <c:v>Completed </c:v>
                  </c:pt>
                  <c:pt idx="79">
                    <c:v>Incomplete</c:v>
                  </c:pt>
                  <c:pt idx="80">
                    <c:v>Completed </c:v>
                  </c:pt>
                  <c:pt idx="81">
                    <c:v>Completed </c:v>
                  </c:pt>
                  <c:pt idx="82">
                    <c:v>Incomplete</c:v>
                  </c:pt>
                  <c:pt idx="83">
                    <c:v>Incomplete</c:v>
                  </c:pt>
                  <c:pt idx="84">
                    <c:v>Completed </c:v>
                  </c:pt>
                  <c:pt idx="85">
                    <c:v>Incomplete</c:v>
                  </c:pt>
                  <c:pt idx="86">
                    <c:v>Completed </c:v>
                  </c:pt>
                  <c:pt idx="87">
                    <c:v>Completed </c:v>
                  </c:pt>
                  <c:pt idx="88">
                    <c:v>Incomplete</c:v>
                  </c:pt>
                  <c:pt idx="89">
                    <c:v>Completed </c:v>
                  </c:pt>
                  <c:pt idx="90">
                    <c:v>Incomplete</c:v>
                  </c:pt>
                  <c:pt idx="91">
                    <c:v>Completed </c:v>
                  </c:pt>
                  <c:pt idx="92">
                    <c:v>Completed </c:v>
                  </c:pt>
                  <c:pt idx="93">
                    <c:v>Incomplete</c:v>
                  </c:pt>
                  <c:pt idx="94">
                    <c:v>Completed </c:v>
                  </c:pt>
                  <c:pt idx="95">
                    <c:v>Completed </c:v>
                  </c:pt>
                  <c:pt idx="96">
                    <c:v>Incomplete</c:v>
                  </c:pt>
                  <c:pt idx="97">
                    <c:v>Incomplete</c:v>
                  </c:pt>
                  <c:pt idx="98">
                    <c:v>Incomplete</c:v>
                  </c:pt>
                  <c:pt idx="99">
                    <c:v>Completed </c:v>
                  </c:pt>
                  <c:pt idx="100">
                    <c:v>Completed </c:v>
                  </c:pt>
                  <c:pt idx="101">
                    <c:v>Incomplete</c:v>
                  </c:pt>
                  <c:pt idx="102">
                    <c:v>Completed </c:v>
                  </c:pt>
                  <c:pt idx="103">
                    <c:v>Incomplete</c:v>
                  </c:pt>
                  <c:pt idx="104">
                    <c:v>Completed </c:v>
                  </c:pt>
                  <c:pt idx="105">
                    <c:v>Incomplete</c:v>
                  </c:pt>
                  <c:pt idx="106">
                    <c:v>Completed </c:v>
                  </c:pt>
                  <c:pt idx="107">
                    <c:v>Completed </c:v>
                  </c:pt>
                  <c:pt idx="108">
                    <c:v>Incomplete</c:v>
                  </c:pt>
                  <c:pt idx="109">
                    <c:v>Incomplete</c:v>
                  </c:pt>
                  <c:pt idx="110">
                    <c:v>Completed </c:v>
                  </c:pt>
                  <c:pt idx="111">
                    <c:v>Completed </c:v>
                  </c:pt>
                  <c:pt idx="112">
                    <c:v>Incomplete</c:v>
                  </c:pt>
                  <c:pt idx="113">
                    <c:v>Incomplete</c:v>
                  </c:pt>
                  <c:pt idx="114">
                    <c:v>Completed </c:v>
                  </c:pt>
                  <c:pt idx="115">
                    <c:v>Incomplete</c:v>
                  </c:pt>
                  <c:pt idx="116">
                    <c:v>Completed </c:v>
                  </c:pt>
                  <c:pt idx="117">
                    <c:v>Completed </c:v>
                  </c:pt>
                  <c:pt idx="118">
                    <c:v>Incomplete</c:v>
                  </c:pt>
                  <c:pt idx="119">
                    <c:v>Incomplete</c:v>
                  </c:pt>
                  <c:pt idx="120">
                    <c:v>Completed </c:v>
                  </c:pt>
                  <c:pt idx="121">
                    <c:v>Incomplete</c:v>
                  </c:pt>
                  <c:pt idx="122">
                    <c:v>Incomplete</c:v>
                  </c:pt>
                  <c:pt idx="123">
                    <c:v>Completed </c:v>
                  </c:pt>
                  <c:pt idx="124">
                    <c:v>Incomplete</c:v>
                  </c:pt>
                  <c:pt idx="125">
                    <c:v>Completed </c:v>
                  </c:pt>
                  <c:pt idx="126">
                    <c:v>Completed </c:v>
                  </c:pt>
                  <c:pt idx="127">
                    <c:v>Incomplete</c:v>
                  </c:pt>
                  <c:pt idx="128">
                    <c:v>Incomplete</c:v>
                  </c:pt>
                  <c:pt idx="129">
                    <c:v>Completed </c:v>
                  </c:pt>
                </c:lvl>
                <c:lvl>
                  <c:pt idx="0">
                    <c:v>Group B </c:v>
                  </c:pt>
                  <c:pt idx="1">
                    <c:v>Group D </c:v>
                  </c:pt>
                  <c:pt idx="2">
                    <c:v>Group C</c:v>
                  </c:pt>
                  <c:pt idx="3">
                    <c:v>Group D </c:v>
                  </c:pt>
                  <c:pt idx="4">
                    <c:v>Group B </c:v>
                  </c:pt>
                  <c:pt idx="5">
                    <c:v>Group A </c:v>
                  </c:pt>
                  <c:pt idx="6">
                    <c:v>Group C</c:v>
                  </c:pt>
                  <c:pt idx="7">
                    <c:v>Group D </c:v>
                  </c:pt>
                  <c:pt idx="8">
                    <c:v>Group B </c:v>
                  </c:pt>
                  <c:pt idx="9">
                    <c:v>Group E </c:v>
                  </c:pt>
                  <c:pt idx="10">
                    <c:v>Group C</c:v>
                  </c:pt>
                  <c:pt idx="11">
                    <c:v>Group A </c:v>
                  </c:pt>
                  <c:pt idx="12">
                    <c:v>Group D </c:v>
                  </c:pt>
                  <c:pt idx="13">
                    <c:v>Group E </c:v>
                  </c:pt>
                  <c:pt idx="14">
                    <c:v>Group C</c:v>
                  </c:pt>
                  <c:pt idx="15">
                    <c:v>Group A </c:v>
                  </c:pt>
                  <c:pt idx="16">
                    <c:v>Group D </c:v>
                  </c:pt>
                  <c:pt idx="17">
                    <c:v>Group E </c:v>
                  </c:pt>
                  <c:pt idx="18">
                    <c:v>Group C</c:v>
                  </c:pt>
                  <c:pt idx="19">
                    <c:v>Group A </c:v>
                  </c:pt>
                  <c:pt idx="20">
                    <c:v>Group D </c:v>
                  </c:pt>
                  <c:pt idx="21">
                    <c:v>Group C</c:v>
                  </c:pt>
                  <c:pt idx="22">
                    <c:v>Group A </c:v>
                  </c:pt>
                  <c:pt idx="23">
                    <c:v>Group B </c:v>
                  </c:pt>
                  <c:pt idx="24">
                    <c:v>Group C</c:v>
                  </c:pt>
                  <c:pt idx="25">
                    <c:v>Group A </c:v>
                  </c:pt>
                  <c:pt idx="26">
                    <c:v>Group A </c:v>
                  </c:pt>
                  <c:pt idx="27">
                    <c:v>Group E </c:v>
                  </c:pt>
                  <c:pt idx="28">
                    <c:v>Group D </c:v>
                  </c:pt>
                  <c:pt idx="29">
                    <c:v>Group C</c:v>
                  </c:pt>
                  <c:pt idx="30">
                    <c:v>Group D </c:v>
                  </c:pt>
                  <c:pt idx="31">
                    <c:v>Group A </c:v>
                  </c:pt>
                  <c:pt idx="32">
                    <c:v>Group B </c:v>
                  </c:pt>
                  <c:pt idx="33">
                    <c:v>Group E </c:v>
                  </c:pt>
                  <c:pt idx="34">
                    <c:v>Group C</c:v>
                  </c:pt>
                  <c:pt idx="35">
                    <c:v>Group E </c:v>
                  </c:pt>
                  <c:pt idx="36">
                    <c:v>Group D </c:v>
                  </c:pt>
                  <c:pt idx="37">
                    <c:v>Group A </c:v>
                  </c:pt>
                  <c:pt idx="38">
                    <c:v>Group E </c:v>
                  </c:pt>
                  <c:pt idx="39">
                    <c:v>Group C</c:v>
                  </c:pt>
                  <c:pt idx="40">
                    <c:v>Group D </c:v>
                  </c:pt>
                  <c:pt idx="41">
                    <c:v>Group B </c:v>
                  </c:pt>
                  <c:pt idx="42">
                    <c:v>Group A </c:v>
                  </c:pt>
                  <c:pt idx="43">
                    <c:v>Group E </c:v>
                  </c:pt>
                  <c:pt idx="44">
                    <c:v>Group C</c:v>
                  </c:pt>
                  <c:pt idx="45">
                    <c:v>Group D </c:v>
                  </c:pt>
                  <c:pt idx="46">
                    <c:v>Group E </c:v>
                  </c:pt>
                  <c:pt idx="47">
                    <c:v>Group B </c:v>
                  </c:pt>
                  <c:pt idx="48">
                    <c:v>Group A </c:v>
                  </c:pt>
                  <c:pt idx="49">
                    <c:v>Group C</c:v>
                  </c:pt>
                  <c:pt idx="50">
                    <c:v>Group E </c:v>
                  </c:pt>
                  <c:pt idx="51">
                    <c:v>Group B </c:v>
                  </c:pt>
                  <c:pt idx="52">
                    <c:v>Group D </c:v>
                  </c:pt>
                  <c:pt idx="53">
                    <c:v>Group A </c:v>
                  </c:pt>
                  <c:pt idx="54">
                    <c:v>Group E </c:v>
                  </c:pt>
                  <c:pt idx="55">
                    <c:v>Group C</c:v>
                  </c:pt>
                  <c:pt idx="56">
                    <c:v>Group E </c:v>
                  </c:pt>
                  <c:pt idx="57">
                    <c:v>Group B </c:v>
                  </c:pt>
                  <c:pt idx="58">
                    <c:v>Group A </c:v>
                  </c:pt>
                  <c:pt idx="59">
                    <c:v>Group D </c:v>
                  </c:pt>
                  <c:pt idx="60">
                    <c:v>Group E </c:v>
                  </c:pt>
                  <c:pt idx="61">
                    <c:v>Group C</c:v>
                  </c:pt>
                  <c:pt idx="62">
                    <c:v>Group D </c:v>
                  </c:pt>
                  <c:pt idx="63">
                    <c:v>Group A </c:v>
                  </c:pt>
                  <c:pt idx="64">
                    <c:v>Group E </c:v>
                  </c:pt>
                  <c:pt idx="65">
                    <c:v>Group C</c:v>
                  </c:pt>
                  <c:pt idx="66">
                    <c:v>Group B </c:v>
                  </c:pt>
                  <c:pt idx="67">
                    <c:v>Group A </c:v>
                  </c:pt>
                  <c:pt idx="68">
                    <c:v>Group E </c:v>
                  </c:pt>
                  <c:pt idx="69">
                    <c:v>Group D </c:v>
                  </c:pt>
                  <c:pt idx="70">
                    <c:v>Group C</c:v>
                  </c:pt>
                  <c:pt idx="71">
                    <c:v>Group A </c:v>
                  </c:pt>
                  <c:pt idx="72">
                    <c:v>Group B </c:v>
                  </c:pt>
                  <c:pt idx="73">
                    <c:v>Group D </c:v>
                  </c:pt>
                  <c:pt idx="74">
                    <c:v>Group B </c:v>
                  </c:pt>
                  <c:pt idx="75">
                    <c:v>Group C</c:v>
                  </c:pt>
                  <c:pt idx="76">
                    <c:v>Group A </c:v>
                  </c:pt>
                  <c:pt idx="77">
                    <c:v>Group B </c:v>
                  </c:pt>
                  <c:pt idx="78">
                    <c:v>Group D </c:v>
                  </c:pt>
                  <c:pt idx="79">
                    <c:v>Group E </c:v>
                  </c:pt>
                  <c:pt idx="80">
                    <c:v>Group A </c:v>
                  </c:pt>
                  <c:pt idx="81">
                    <c:v>Group B </c:v>
                  </c:pt>
                  <c:pt idx="82">
                    <c:v>Group D </c:v>
                  </c:pt>
                  <c:pt idx="83">
                    <c:v>Group C</c:v>
                  </c:pt>
                  <c:pt idx="84">
                    <c:v>Group A </c:v>
                  </c:pt>
                  <c:pt idx="85">
                    <c:v>Group C</c:v>
                  </c:pt>
                  <c:pt idx="86">
                    <c:v>Group B </c:v>
                  </c:pt>
                  <c:pt idx="87">
                    <c:v>Group D </c:v>
                  </c:pt>
                  <c:pt idx="88">
                    <c:v>Group C</c:v>
                  </c:pt>
                  <c:pt idx="89">
                    <c:v>Group A </c:v>
                  </c:pt>
                  <c:pt idx="90">
                    <c:v>Group E </c:v>
                  </c:pt>
                  <c:pt idx="91">
                    <c:v>Group B </c:v>
                  </c:pt>
                  <c:pt idx="92">
                    <c:v>Group C</c:v>
                  </c:pt>
                  <c:pt idx="93">
                    <c:v>Group E </c:v>
                  </c:pt>
                  <c:pt idx="94">
                    <c:v>Group A </c:v>
                  </c:pt>
                  <c:pt idx="95">
                    <c:v>Group A </c:v>
                  </c:pt>
                  <c:pt idx="96">
                    <c:v>Group D </c:v>
                  </c:pt>
                  <c:pt idx="97">
                    <c:v>Group B </c:v>
                  </c:pt>
                  <c:pt idx="98">
                    <c:v>Group E </c:v>
                  </c:pt>
                  <c:pt idx="99">
                    <c:v>Group A </c:v>
                  </c:pt>
                  <c:pt idx="100">
                    <c:v>Group B </c:v>
                  </c:pt>
                  <c:pt idx="101">
                    <c:v>Group C</c:v>
                  </c:pt>
                  <c:pt idx="102">
                    <c:v>Group D </c:v>
                  </c:pt>
                  <c:pt idx="103">
                    <c:v>Group B </c:v>
                  </c:pt>
                  <c:pt idx="104">
                    <c:v>Group B </c:v>
                  </c:pt>
                  <c:pt idx="105">
                    <c:v>Group E </c:v>
                  </c:pt>
                  <c:pt idx="106">
                    <c:v>Group A </c:v>
                  </c:pt>
                  <c:pt idx="107">
                    <c:v>Group C</c:v>
                  </c:pt>
                  <c:pt idx="108">
                    <c:v>Group D </c:v>
                  </c:pt>
                  <c:pt idx="109">
                    <c:v>Group E </c:v>
                  </c:pt>
                  <c:pt idx="110">
                    <c:v>Group B </c:v>
                  </c:pt>
                  <c:pt idx="111">
                    <c:v>Group D </c:v>
                  </c:pt>
                  <c:pt idx="112">
                    <c:v>Group C</c:v>
                  </c:pt>
                  <c:pt idx="113">
                    <c:v>Group B </c:v>
                  </c:pt>
                  <c:pt idx="114">
                    <c:v>Group E </c:v>
                  </c:pt>
                  <c:pt idx="115">
                    <c:v>Group A </c:v>
                  </c:pt>
                  <c:pt idx="116">
                    <c:v>Group C</c:v>
                  </c:pt>
                  <c:pt idx="117">
                    <c:v>Group B </c:v>
                  </c:pt>
                  <c:pt idx="118">
                    <c:v>Group D </c:v>
                  </c:pt>
                  <c:pt idx="119">
                    <c:v>Group B </c:v>
                  </c:pt>
                  <c:pt idx="120">
                    <c:v>Group E </c:v>
                  </c:pt>
                  <c:pt idx="121">
                    <c:v>Group B </c:v>
                  </c:pt>
                  <c:pt idx="122">
                    <c:v>Group C</c:v>
                  </c:pt>
                  <c:pt idx="123">
                    <c:v>Group D </c:v>
                  </c:pt>
                  <c:pt idx="124">
                    <c:v>Group E </c:v>
                  </c:pt>
                  <c:pt idx="125">
                    <c:v>Group A </c:v>
                  </c:pt>
                  <c:pt idx="126">
                    <c:v>Group C</c:v>
                  </c:pt>
                  <c:pt idx="127">
                    <c:v>Group B </c:v>
                  </c:pt>
                  <c:pt idx="128">
                    <c:v>Group D </c:v>
                  </c:pt>
                  <c:pt idx="129">
                    <c:v>Group B </c:v>
                  </c:pt>
                </c:lvl>
                <c:lvl>
                  <c:pt idx="0">
                    <c:v>S001</c:v>
                  </c:pt>
                  <c:pt idx="1">
                    <c:v>S002</c:v>
                  </c:pt>
                  <c:pt idx="2">
                    <c:v>S003</c:v>
                  </c:pt>
                  <c:pt idx="3">
                    <c:v>S004</c:v>
                  </c:pt>
                  <c:pt idx="4">
                    <c:v>S005</c:v>
                  </c:pt>
                  <c:pt idx="5">
                    <c:v>S006</c:v>
                  </c:pt>
                  <c:pt idx="6">
                    <c:v>S007</c:v>
                  </c:pt>
                  <c:pt idx="7">
                    <c:v>S008</c:v>
                  </c:pt>
                  <c:pt idx="8">
                    <c:v>S009</c:v>
                  </c:pt>
                  <c:pt idx="9">
                    <c:v>S010</c:v>
                  </c:pt>
                  <c:pt idx="10">
                    <c:v>S011</c:v>
                  </c:pt>
                  <c:pt idx="11">
                    <c:v>S012</c:v>
                  </c:pt>
                  <c:pt idx="12">
                    <c:v>S013</c:v>
                  </c:pt>
                  <c:pt idx="13">
                    <c:v>S014</c:v>
                  </c:pt>
                  <c:pt idx="14">
                    <c:v>S015</c:v>
                  </c:pt>
                  <c:pt idx="15">
                    <c:v>S016</c:v>
                  </c:pt>
                  <c:pt idx="16">
                    <c:v>S017</c:v>
                  </c:pt>
                  <c:pt idx="17">
                    <c:v>S018</c:v>
                  </c:pt>
                  <c:pt idx="18">
                    <c:v>S019</c:v>
                  </c:pt>
                  <c:pt idx="19">
                    <c:v>S020</c:v>
                  </c:pt>
                  <c:pt idx="20">
                    <c:v>S021</c:v>
                  </c:pt>
                  <c:pt idx="21">
                    <c:v>S022</c:v>
                  </c:pt>
                  <c:pt idx="22">
                    <c:v>S023</c:v>
                  </c:pt>
                  <c:pt idx="23">
                    <c:v>S024</c:v>
                  </c:pt>
                  <c:pt idx="24">
                    <c:v>S025</c:v>
                  </c:pt>
                  <c:pt idx="25">
                    <c:v>S026</c:v>
                  </c:pt>
                  <c:pt idx="26">
                    <c:v>S027</c:v>
                  </c:pt>
                  <c:pt idx="27">
                    <c:v>S028</c:v>
                  </c:pt>
                  <c:pt idx="28">
                    <c:v>S029</c:v>
                  </c:pt>
                  <c:pt idx="29">
                    <c:v>S030</c:v>
                  </c:pt>
                  <c:pt idx="30">
                    <c:v>S031</c:v>
                  </c:pt>
                  <c:pt idx="31">
                    <c:v>S032</c:v>
                  </c:pt>
                  <c:pt idx="32">
                    <c:v>S033</c:v>
                  </c:pt>
                  <c:pt idx="33">
                    <c:v>S034</c:v>
                  </c:pt>
                  <c:pt idx="34">
                    <c:v>S035</c:v>
                  </c:pt>
                  <c:pt idx="35">
                    <c:v>S036</c:v>
                  </c:pt>
                  <c:pt idx="36">
                    <c:v>S037</c:v>
                  </c:pt>
                  <c:pt idx="37">
                    <c:v>S038</c:v>
                  </c:pt>
                  <c:pt idx="38">
                    <c:v>S039</c:v>
                  </c:pt>
                  <c:pt idx="39">
                    <c:v>S040</c:v>
                  </c:pt>
                  <c:pt idx="40">
                    <c:v>S041</c:v>
                  </c:pt>
                  <c:pt idx="41">
                    <c:v>S042</c:v>
                  </c:pt>
                  <c:pt idx="42">
                    <c:v>S043</c:v>
                  </c:pt>
                  <c:pt idx="43">
                    <c:v>S044</c:v>
                  </c:pt>
                  <c:pt idx="44">
                    <c:v>S045</c:v>
                  </c:pt>
                  <c:pt idx="45">
                    <c:v>S046</c:v>
                  </c:pt>
                  <c:pt idx="46">
                    <c:v>S047</c:v>
                  </c:pt>
                  <c:pt idx="47">
                    <c:v>S048</c:v>
                  </c:pt>
                  <c:pt idx="48">
                    <c:v>S049</c:v>
                  </c:pt>
                  <c:pt idx="49">
                    <c:v>S050</c:v>
                  </c:pt>
                  <c:pt idx="50">
                    <c:v>S051</c:v>
                  </c:pt>
                  <c:pt idx="51">
                    <c:v>S052</c:v>
                  </c:pt>
                  <c:pt idx="52">
                    <c:v>S053</c:v>
                  </c:pt>
                  <c:pt idx="53">
                    <c:v>S054</c:v>
                  </c:pt>
                  <c:pt idx="54">
                    <c:v>S055</c:v>
                  </c:pt>
                  <c:pt idx="55">
                    <c:v>S056</c:v>
                  </c:pt>
                  <c:pt idx="56">
                    <c:v>S057</c:v>
                  </c:pt>
                  <c:pt idx="57">
                    <c:v>S058</c:v>
                  </c:pt>
                  <c:pt idx="58">
                    <c:v>S059</c:v>
                  </c:pt>
                  <c:pt idx="59">
                    <c:v>S060</c:v>
                  </c:pt>
                  <c:pt idx="60">
                    <c:v>S061</c:v>
                  </c:pt>
                  <c:pt idx="61">
                    <c:v>S062</c:v>
                  </c:pt>
                  <c:pt idx="62">
                    <c:v>S063</c:v>
                  </c:pt>
                  <c:pt idx="63">
                    <c:v>S064</c:v>
                  </c:pt>
                  <c:pt idx="64">
                    <c:v>S065</c:v>
                  </c:pt>
                  <c:pt idx="65">
                    <c:v>S066</c:v>
                  </c:pt>
                  <c:pt idx="66">
                    <c:v>S067</c:v>
                  </c:pt>
                  <c:pt idx="67">
                    <c:v>S068</c:v>
                  </c:pt>
                  <c:pt idx="68">
                    <c:v>S069</c:v>
                  </c:pt>
                  <c:pt idx="69">
                    <c:v>S070</c:v>
                  </c:pt>
                  <c:pt idx="70">
                    <c:v>S071</c:v>
                  </c:pt>
                  <c:pt idx="71">
                    <c:v>S072</c:v>
                  </c:pt>
                  <c:pt idx="72">
                    <c:v>S073</c:v>
                  </c:pt>
                  <c:pt idx="73">
                    <c:v>S074</c:v>
                  </c:pt>
                  <c:pt idx="74">
                    <c:v>S075</c:v>
                  </c:pt>
                  <c:pt idx="75">
                    <c:v>S076</c:v>
                  </c:pt>
                  <c:pt idx="76">
                    <c:v>S077</c:v>
                  </c:pt>
                  <c:pt idx="77">
                    <c:v>S078</c:v>
                  </c:pt>
                  <c:pt idx="78">
                    <c:v>S079</c:v>
                  </c:pt>
                  <c:pt idx="79">
                    <c:v>S080</c:v>
                  </c:pt>
                  <c:pt idx="80">
                    <c:v>S081</c:v>
                  </c:pt>
                  <c:pt idx="81">
                    <c:v>S082</c:v>
                  </c:pt>
                  <c:pt idx="82">
                    <c:v>S083</c:v>
                  </c:pt>
                  <c:pt idx="83">
                    <c:v>S084</c:v>
                  </c:pt>
                  <c:pt idx="84">
                    <c:v>S085</c:v>
                  </c:pt>
                  <c:pt idx="85">
                    <c:v>S086</c:v>
                  </c:pt>
                  <c:pt idx="86">
                    <c:v>S087</c:v>
                  </c:pt>
                  <c:pt idx="87">
                    <c:v>S088</c:v>
                  </c:pt>
                  <c:pt idx="88">
                    <c:v>S089</c:v>
                  </c:pt>
                  <c:pt idx="89">
                    <c:v>S090</c:v>
                  </c:pt>
                  <c:pt idx="90">
                    <c:v>S091</c:v>
                  </c:pt>
                  <c:pt idx="91">
                    <c:v>S092</c:v>
                  </c:pt>
                  <c:pt idx="92">
                    <c:v>S093</c:v>
                  </c:pt>
                  <c:pt idx="93">
                    <c:v>S094</c:v>
                  </c:pt>
                  <c:pt idx="94">
                    <c:v>S095</c:v>
                  </c:pt>
                  <c:pt idx="95">
                    <c:v>S096</c:v>
                  </c:pt>
                  <c:pt idx="96">
                    <c:v>S097</c:v>
                  </c:pt>
                  <c:pt idx="97">
                    <c:v>S098</c:v>
                  </c:pt>
                  <c:pt idx="98">
                    <c:v>S099</c:v>
                  </c:pt>
                  <c:pt idx="99">
                    <c:v>S100</c:v>
                  </c:pt>
                  <c:pt idx="100">
                    <c:v>S101</c:v>
                  </c:pt>
                  <c:pt idx="101">
                    <c:v>S102</c:v>
                  </c:pt>
                  <c:pt idx="102">
                    <c:v>S103</c:v>
                  </c:pt>
                  <c:pt idx="103">
                    <c:v>S104</c:v>
                  </c:pt>
                  <c:pt idx="104">
                    <c:v>S105</c:v>
                  </c:pt>
                  <c:pt idx="105">
                    <c:v>S106</c:v>
                  </c:pt>
                  <c:pt idx="106">
                    <c:v>S107</c:v>
                  </c:pt>
                  <c:pt idx="107">
                    <c:v>S108</c:v>
                  </c:pt>
                  <c:pt idx="108">
                    <c:v>S109</c:v>
                  </c:pt>
                  <c:pt idx="109">
                    <c:v>S110</c:v>
                  </c:pt>
                  <c:pt idx="110">
                    <c:v>S111</c:v>
                  </c:pt>
                  <c:pt idx="111">
                    <c:v>S112</c:v>
                  </c:pt>
                  <c:pt idx="112">
                    <c:v>S113</c:v>
                  </c:pt>
                  <c:pt idx="113">
                    <c:v>S114</c:v>
                  </c:pt>
                  <c:pt idx="114">
                    <c:v>S115</c:v>
                  </c:pt>
                  <c:pt idx="115">
                    <c:v>S116</c:v>
                  </c:pt>
                  <c:pt idx="116">
                    <c:v>S117</c:v>
                  </c:pt>
                  <c:pt idx="117">
                    <c:v>S118</c:v>
                  </c:pt>
                  <c:pt idx="118">
                    <c:v>S119</c:v>
                  </c:pt>
                  <c:pt idx="119">
                    <c:v>S120</c:v>
                  </c:pt>
                  <c:pt idx="120">
                    <c:v>S121</c:v>
                  </c:pt>
                  <c:pt idx="121">
                    <c:v>S122</c:v>
                  </c:pt>
                  <c:pt idx="122">
                    <c:v>S123</c:v>
                  </c:pt>
                  <c:pt idx="123">
                    <c:v>S124</c:v>
                  </c:pt>
                  <c:pt idx="124">
                    <c:v>S125</c:v>
                  </c:pt>
                  <c:pt idx="125">
                    <c:v>S126</c:v>
                  </c:pt>
                  <c:pt idx="126">
                    <c:v>S127</c:v>
                  </c:pt>
                  <c:pt idx="127">
                    <c:v>S128</c:v>
                  </c:pt>
                  <c:pt idx="128">
                    <c:v>S129</c:v>
                  </c:pt>
                  <c:pt idx="129">
                    <c:v>S130</c:v>
                  </c:pt>
                </c:lvl>
              </c:multiLvlStrCache>
            </c:multiLvlStrRef>
          </c:cat>
          <c:val>
            <c:numRef>
              <c:f>'Sheet 2'!$B$3:$B$653</c:f>
              <c:numCache>
                <c:formatCode>General</c:formatCode>
                <c:ptCount val="130"/>
                <c:pt idx="0">
                  <c:v>88.666666666666671</c:v>
                </c:pt>
                <c:pt idx="1">
                  <c:v>64.666666666666657</c:v>
                </c:pt>
                <c:pt idx="2">
                  <c:v>83.333333333333343</c:v>
                </c:pt>
                <c:pt idx="3">
                  <c:v>78.333333333333329</c:v>
                </c:pt>
                <c:pt idx="4">
                  <c:v>74</c:v>
                </c:pt>
                <c:pt idx="5">
                  <c:v>80.333333333333329</c:v>
                </c:pt>
                <c:pt idx="6">
                  <c:v>63.333333333333329</c:v>
                </c:pt>
                <c:pt idx="7">
                  <c:v>73.333333333333329</c:v>
                </c:pt>
                <c:pt idx="8">
                  <c:v>73.333333333333329</c:v>
                </c:pt>
                <c:pt idx="9">
                  <c:v>78.333333333333329</c:v>
                </c:pt>
                <c:pt idx="10">
                  <c:v>95.666666666666671</c:v>
                </c:pt>
                <c:pt idx="11">
                  <c:v>77</c:v>
                </c:pt>
                <c:pt idx="12">
                  <c:v>70.333333333333343</c:v>
                </c:pt>
                <c:pt idx="13">
                  <c:v>63.333333333333329</c:v>
                </c:pt>
                <c:pt idx="14">
                  <c:v>80.666666666666657</c:v>
                </c:pt>
                <c:pt idx="15">
                  <c:v>67</c:v>
                </c:pt>
                <c:pt idx="16">
                  <c:v>77.666666666666657</c:v>
                </c:pt>
                <c:pt idx="17">
                  <c:v>65.666666666666657</c:v>
                </c:pt>
                <c:pt idx="18">
                  <c:v>69</c:v>
                </c:pt>
                <c:pt idx="19">
                  <c:v>67</c:v>
                </c:pt>
                <c:pt idx="20">
                  <c:v>83.666666666666671</c:v>
                </c:pt>
                <c:pt idx="21">
                  <c:v>83</c:v>
                </c:pt>
                <c:pt idx="22">
                  <c:v>64</c:v>
                </c:pt>
                <c:pt idx="23">
                  <c:v>64.666666666666657</c:v>
                </c:pt>
                <c:pt idx="24">
                  <c:v>82.666666666666671</c:v>
                </c:pt>
                <c:pt idx="25">
                  <c:v>70.333333333333343</c:v>
                </c:pt>
                <c:pt idx="26">
                  <c:v>86.666666666666671</c:v>
                </c:pt>
                <c:pt idx="27">
                  <c:v>75.666666666666671</c:v>
                </c:pt>
                <c:pt idx="28">
                  <c:v>69.666666666666671</c:v>
                </c:pt>
                <c:pt idx="29">
                  <c:v>77</c:v>
                </c:pt>
                <c:pt idx="30">
                  <c:v>79</c:v>
                </c:pt>
                <c:pt idx="31">
                  <c:v>81.333333333333329</c:v>
                </c:pt>
                <c:pt idx="32">
                  <c:v>74</c:v>
                </c:pt>
                <c:pt idx="33">
                  <c:v>73</c:v>
                </c:pt>
                <c:pt idx="34">
                  <c:v>72</c:v>
                </c:pt>
                <c:pt idx="35">
                  <c:v>80.333333333333329</c:v>
                </c:pt>
                <c:pt idx="36">
                  <c:v>79.666666666666657</c:v>
                </c:pt>
                <c:pt idx="37">
                  <c:v>75.333333333333329</c:v>
                </c:pt>
                <c:pt idx="38">
                  <c:v>78.333333333333329</c:v>
                </c:pt>
                <c:pt idx="39">
                  <c:v>74.333333333333329</c:v>
                </c:pt>
                <c:pt idx="40">
                  <c:v>72</c:v>
                </c:pt>
                <c:pt idx="41">
                  <c:v>71</c:v>
                </c:pt>
                <c:pt idx="42">
                  <c:v>74.666666666666671</c:v>
                </c:pt>
                <c:pt idx="43">
                  <c:v>68</c:v>
                </c:pt>
                <c:pt idx="44">
                  <c:v>71.666666666666671</c:v>
                </c:pt>
                <c:pt idx="45">
                  <c:v>68.666666666666671</c:v>
                </c:pt>
                <c:pt idx="46">
                  <c:v>82.333333333333343</c:v>
                </c:pt>
                <c:pt idx="47">
                  <c:v>86.666666666666671</c:v>
                </c:pt>
                <c:pt idx="48">
                  <c:v>95.666666666666671</c:v>
                </c:pt>
                <c:pt idx="49">
                  <c:v>76.333333333333329</c:v>
                </c:pt>
                <c:pt idx="50">
                  <c:v>75.333333333333329</c:v>
                </c:pt>
                <c:pt idx="51">
                  <c:v>73.333333333333329</c:v>
                </c:pt>
                <c:pt idx="52">
                  <c:v>78.333333333333329</c:v>
                </c:pt>
                <c:pt idx="53">
                  <c:v>82.666666666666671</c:v>
                </c:pt>
                <c:pt idx="54">
                  <c:v>76.666666666666671</c:v>
                </c:pt>
                <c:pt idx="55">
                  <c:v>70.333333333333343</c:v>
                </c:pt>
                <c:pt idx="56">
                  <c:v>74.666666666666671</c:v>
                </c:pt>
                <c:pt idx="57">
                  <c:v>73</c:v>
                </c:pt>
                <c:pt idx="58">
                  <c:v>83.333333333333343</c:v>
                </c:pt>
                <c:pt idx="59">
                  <c:v>81</c:v>
                </c:pt>
                <c:pt idx="60">
                  <c:v>79</c:v>
                </c:pt>
                <c:pt idx="61">
                  <c:v>70.333333333333343</c:v>
                </c:pt>
                <c:pt idx="62">
                  <c:v>79</c:v>
                </c:pt>
                <c:pt idx="63">
                  <c:v>71.666666666666671</c:v>
                </c:pt>
                <c:pt idx="64">
                  <c:v>82.333333333333343</c:v>
                </c:pt>
                <c:pt idx="65">
                  <c:v>70.333333333333343</c:v>
                </c:pt>
                <c:pt idx="66">
                  <c:v>68</c:v>
                </c:pt>
                <c:pt idx="67">
                  <c:v>76.333333333333329</c:v>
                </c:pt>
                <c:pt idx="68">
                  <c:v>86</c:v>
                </c:pt>
                <c:pt idx="69">
                  <c:v>84.333333333333343</c:v>
                </c:pt>
                <c:pt idx="70">
                  <c:v>70.666666666666671</c:v>
                </c:pt>
                <c:pt idx="71">
                  <c:v>72.666666666666671</c:v>
                </c:pt>
                <c:pt idx="72">
                  <c:v>81.666666666666671</c:v>
                </c:pt>
                <c:pt idx="73">
                  <c:v>84.333333333333343</c:v>
                </c:pt>
                <c:pt idx="74">
                  <c:v>67.666666666666657</c:v>
                </c:pt>
                <c:pt idx="75">
                  <c:v>67</c:v>
                </c:pt>
                <c:pt idx="76">
                  <c:v>54.666666666666664</c:v>
                </c:pt>
                <c:pt idx="77">
                  <c:v>71.666666666666671</c:v>
                </c:pt>
                <c:pt idx="78">
                  <c:v>80.333333333333329</c:v>
                </c:pt>
                <c:pt idx="79">
                  <c:v>62.333333333333329</c:v>
                </c:pt>
                <c:pt idx="80">
                  <c:v>74</c:v>
                </c:pt>
                <c:pt idx="81">
                  <c:v>58.666666666666664</c:v>
                </c:pt>
                <c:pt idx="82">
                  <c:v>77.333333333333329</c:v>
                </c:pt>
                <c:pt idx="83">
                  <c:v>76.666666666666671</c:v>
                </c:pt>
                <c:pt idx="84">
                  <c:v>78</c:v>
                </c:pt>
                <c:pt idx="85">
                  <c:v>85.666666666666671</c:v>
                </c:pt>
                <c:pt idx="86">
                  <c:v>73.333333333333329</c:v>
                </c:pt>
                <c:pt idx="87">
                  <c:v>85</c:v>
                </c:pt>
                <c:pt idx="88">
                  <c:v>79</c:v>
                </c:pt>
                <c:pt idx="89">
                  <c:v>81.666666666666671</c:v>
                </c:pt>
                <c:pt idx="90">
                  <c:v>76.666666666666671</c:v>
                </c:pt>
                <c:pt idx="91">
                  <c:v>69.666666666666671</c:v>
                </c:pt>
                <c:pt idx="92">
                  <c:v>63</c:v>
                </c:pt>
                <c:pt idx="93">
                  <c:v>63.333333333333329</c:v>
                </c:pt>
                <c:pt idx="94">
                  <c:v>86</c:v>
                </c:pt>
                <c:pt idx="95">
                  <c:v>85</c:v>
                </c:pt>
                <c:pt idx="96">
                  <c:v>85.666666666666671</c:v>
                </c:pt>
                <c:pt idx="97">
                  <c:v>60.666666666666671</c:v>
                </c:pt>
                <c:pt idx="98">
                  <c:v>75</c:v>
                </c:pt>
                <c:pt idx="99">
                  <c:v>79</c:v>
                </c:pt>
                <c:pt idx="100">
                  <c:v>76.666666666666671</c:v>
                </c:pt>
                <c:pt idx="101">
                  <c:v>84.333333333333343</c:v>
                </c:pt>
                <c:pt idx="102">
                  <c:v>80.666666666666657</c:v>
                </c:pt>
                <c:pt idx="103">
                  <c:v>84</c:v>
                </c:pt>
                <c:pt idx="104">
                  <c:v>78.666666666666657</c:v>
                </c:pt>
                <c:pt idx="105">
                  <c:v>70.666666666666671</c:v>
                </c:pt>
                <c:pt idx="106">
                  <c:v>74.333333333333329</c:v>
                </c:pt>
                <c:pt idx="107">
                  <c:v>75</c:v>
                </c:pt>
                <c:pt idx="108">
                  <c:v>69</c:v>
                </c:pt>
                <c:pt idx="109">
                  <c:v>79.666666666666657</c:v>
                </c:pt>
                <c:pt idx="110">
                  <c:v>69.666666666666671</c:v>
                </c:pt>
                <c:pt idx="111">
                  <c:v>71</c:v>
                </c:pt>
                <c:pt idx="112">
                  <c:v>70.666666666666671</c:v>
                </c:pt>
                <c:pt idx="113">
                  <c:v>90</c:v>
                </c:pt>
                <c:pt idx="114">
                  <c:v>86.333333333333329</c:v>
                </c:pt>
                <c:pt idx="115">
                  <c:v>82</c:v>
                </c:pt>
                <c:pt idx="116">
                  <c:v>62.333333333333329</c:v>
                </c:pt>
                <c:pt idx="117">
                  <c:v>65.333333333333329</c:v>
                </c:pt>
                <c:pt idx="118">
                  <c:v>82</c:v>
                </c:pt>
                <c:pt idx="119">
                  <c:v>79.666666666666657</c:v>
                </c:pt>
                <c:pt idx="120">
                  <c:v>70.333333333333343</c:v>
                </c:pt>
                <c:pt idx="121">
                  <c:v>83</c:v>
                </c:pt>
                <c:pt idx="122">
                  <c:v>62.333333333333329</c:v>
                </c:pt>
                <c:pt idx="123">
                  <c:v>75.333333333333329</c:v>
                </c:pt>
                <c:pt idx="124">
                  <c:v>67.666666666666657</c:v>
                </c:pt>
                <c:pt idx="125">
                  <c:v>77.333333333333329</c:v>
                </c:pt>
                <c:pt idx="126">
                  <c:v>77.666666666666657</c:v>
                </c:pt>
                <c:pt idx="127">
                  <c:v>78.333333333333329</c:v>
                </c:pt>
                <c:pt idx="128">
                  <c:v>71.333333333333343</c:v>
                </c:pt>
                <c:pt idx="129">
                  <c:v>82.666666666666671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2-4BDD-8859-FBB6DC8215D4}"/>
            </c:ext>
          </c:extLst>
        </c:ser>
        <c:ser>
          <c:idx val="1"/>
          <c:order val="1"/>
          <c:tx>
            <c:strRef>
              <c:f>'Sheet 2'!$C$2</c:f>
              <c:strCache>
                <c:ptCount val="1"/>
                <c:pt idx="0">
                  <c:v>Sum of Average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A232-4CD9-B317-D5175FB44C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A232-4CD9-B317-D5175FB44C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A232-4CD9-B317-D5175FB44C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A232-4CD9-B317-D5175FB44C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A232-4CD9-B317-D5175FB44C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A232-4CD9-B317-D5175FB44C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A232-4CD9-B317-D5175FB44C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A232-4CD9-B317-D5175FB44C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A232-4CD9-B317-D5175FB44C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A232-4CD9-B317-D5175FB44C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A232-4CD9-B317-D5175FB44C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A232-4CD9-B317-D5175FB44CF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A232-4CD9-B317-D5175FB44CF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A232-4CD9-B317-D5175FB44CF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A232-4CD9-B317-D5175FB44CF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A232-4CD9-B317-D5175FB44CF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A232-4CD9-B317-D5175FB44CF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A232-4CD9-B317-D5175FB44CF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A232-4CD9-B317-D5175FB44CF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A232-4CD9-B317-D5175FB44CF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A232-4CD9-B317-D5175FB44CF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A232-4CD9-B317-D5175FB44CF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A232-4CD9-B317-D5175FB44CF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A232-4CD9-B317-D5175FB44CF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A232-4CD9-B317-D5175FB44CF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A232-4CD9-B317-D5175FB44CF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A232-4CD9-B317-D5175FB44CF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A232-4CD9-B317-D5175FB44CF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A232-4CD9-B317-D5175FB44CF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A232-4CD9-B317-D5175FB44CF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A232-4CD9-B317-D5175FB44CFD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A232-4CD9-B317-D5175FB44CFD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A232-4CD9-B317-D5175FB44CFD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A232-4CD9-B317-D5175FB44CFD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A232-4CD9-B317-D5175FB44CFD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A232-4CD9-B317-D5175FB44CFD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A232-4CD9-B317-D5175FB44CFD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A232-4CD9-B317-D5175FB44CFD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A232-4CD9-B317-D5175FB44CFD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A232-4CD9-B317-D5175FB44CFD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A232-4CD9-B317-D5175FB44CFD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A232-4CD9-B317-D5175FB44CFD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A232-4CD9-B317-D5175FB44CFD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A232-4CD9-B317-D5175FB44CFD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A232-4CD9-B317-D5175FB44CFD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A232-4CD9-B317-D5175FB44CFD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A232-4CD9-B317-D5175FB44CFD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A232-4CD9-B317-D5175FB44CFD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A232-4CD9-B317-D5175FB44CFD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A232-4CD9-B317-D5175FB44CFD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A232-4CD9-B317-D5175FB44CFD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A232-4CD9-B317-D5175FB44CFD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A232-4CD9-B317-D5175FB44CFD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A232-4CD9-B317-D5175FB44CFD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A232-4CD9-B317-D5175FB44CFD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A232-4CD9-B317-D5175FB44CFD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A232-4CD9-B317-D5175FB44CFD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A232-4CD9-B317-D5175FB44CFD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A232-4CD9-B317-D5175FB44CFD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A232-4CD9-B317-D5175FB44CFD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A232-4CD9-B317-D5175FB44CFD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A232-4CD9-B317-D5175FB44CFD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A232-4CD9-B317-D5175FB44CFD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A232-4CD9-B317-D5175FB44CFD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A232-4CD9-B317-D5175FB44CFD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A232-4CD9-B317-D5175FB44CFD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A232-4CD9-B317-D5175FB44CFD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A232-4CD9-B317-D5175FB44CFD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A232-4CD9-B317-D5175FB44CFD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A232-4CD9-B317-D5175FB44CFD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A232-4CD9-B317-D5175FB44CFD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A232-4CD9-B317-D5175FB44CFD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A232-4CD9-B317-D5175FB44CFD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A232-4CD9-B317-D5175FB44CFD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A232-4CD9-B317-D5175FB44CFD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A232-4CD9-B317-D5175FB44CFD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A232-4CD9-B317-D5175FB44CFD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A232-4CD9-B317-D5175FB44CFD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A232-4CD9-B317-D5175FB44CFD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A232-4CD9-B317-D5175FB44CFD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A232-4CD9-B317-D5175FB44CFD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A232-4CD9-B317-D5175FB44CFD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A232-4CD9-B317-D5175FB44CFD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A232-4CD9-B317-D5175FB44CFD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A232-4CD9-B317-D5175FB44CFD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A232-4CD9-B317-D5175FB44CFD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A232-4CD9-B317-D5175FB44CFD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A232-4CD9-B317-D5175FB44CFD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A232-4CD9-B317-D5175FB44CFD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A232-4CD9-B317-D5175FB44CFD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A232-4CD9-B317-D5175FB44CFD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A232-4CD9-B317-D5175FB44CFD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A232-4CD9-B317-D5175FB44CFD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A232-4CD9-B317-D5175FB44CFD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A232-4CD9-B317-D5175FB44CFD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A232-4CD9-B317-D5175FB44CFD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A232-4CD9-B317-D5175FB44CFD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A232-4CD9-B317-D5175FB44CFD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A232-4CD9-B317-D5175FB44CFD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A232-4CD9-B317-D5175FB44CFD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A232-4CD9-B317-D5175FB44CFD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A232-4CD9-B317-D5175FB44CFD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A232-4CD9-B317-D5175FB44CFD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A232-4CD9-B317-D5175FB44CFD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A232-4CD9-B317-D5175FB44CFD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A232-4CD9-B317-D5175FB44CFD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A232-4CD9-B317-D5175FB44CFD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A232-4CD9-B317-D5175FB44CFD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A232-4CD9-B317-D5175FB44CFD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A232-4CD9-B317-D5175FB44CFD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A232-4CD9-B317-D5175FB44CFD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A232-4CD9-B317-D5175FB44CFD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A232-4CD9-B317-D5175FB44CFD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A232-4CD9-B317-D5175FB44CFD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A232-4CD9-B317-D5175FB44CFD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A232-4CD9-B317-D5175FB44CFD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A232-4CD9-B317-D5175FB44CFD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A232-4CD9-B317-D5175FB44CFD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A232-4CD9-B317-D5175FB44CFD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A232-4CD9-B317-D5175FB44CFD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A232-4CD9-B317-D5175FB44CFD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A232-4CD9-B317-D5175FB44CFD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A232-4CD9-B317-D5175FB44CFD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A232-4CD9-B317-D5175FB44CFD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A232-4CD9-B317-D5175FB44CFD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A232-4CD9-B317-D5175FB44CFD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A232-4CD9-B317-D5175FB44CFD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A232-4CD9-B317-D5175FB44CFD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A232-4CD9-B317-D5175FB44CFD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A232-4CD9-B317-D5175FB44CFD}"/>
              </c:ext>
            </c:extLst>
          </c:dPt>
          <c:cat>
            <c:multiLvlStrRef>
              <c:f>'Sheet 2'!$A$3:$A$653</c:f>
              <c:multiLvlStrCache>
                <c:ptCount val="130"/>
                <c:lvl>
                  <c:pt idx="0">
                    <c:v>Pass</c:v>
                  </c:pt>
                  <c:pt idx="1">
                    <c:v>Pass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Pass</c:v>
                  </c:pt>
                  <c:pt idx="6">
                    <c:v>Pass</c:v>
                  </c:pt>
                  <c:pt idx="7">
                    <c:v>Pass</c:v>
                  </c:pt>
                  <c:pt idx="8">
                    <c:v>Pass</c:v>
                  </c:pt>
                  <c:pt idx="9">
                    <c:v>Pass</c:v>
                  </c:pt>
                  <c:pt idx="10">
                    <c:v>Pass</c:v>
                  </c:pt>
                  <c:pt idx="11">
                    <c:v>Pass</c:v>
                  </c:pt>
                  <c:pt idx="12">
                    <c:v>Pass</c:v>
                  </c:pt>
                  <c:pt idx="13">
                    <c:v>Pass</c:v>
                  </c:pt>
                  <c:pt idx="14">
                    <c:v>Pass</c:v>
                  </c:pt>
                  <c:pt idx="15">
                    <c:v>Pass</c:v>
                  </c:pt>
                  <c:pt idx="16">
                    <c:v>Pass</c:v>
                  </c:pt>
                  <c:pt idx="17">
                    <c:v>Pass</c:v>
                  </c:pt>
                  <c:pt idx="18">
                    <c:v>Pass</c:v>
                  </c:pt>
                  <c:pt idx="19">
                    <c:v>Pass</c:v>
                  </c:pt>
                  <c:pt idx="20">
                    <c:v>Pass</c:v>
                  </c:pt>
                  <c:pt idx="21">
                    <c:v>Pass</c:v>
                  </c:pt>
                  <c:pt idx="22">
                    <c:v>Pass</c:v>
                  </c:pt>
                  <c:pt idx="23">
                    <c:v>Pass</c:v>
                  </c:pt>
                  <c:pt idx="24">
                    <c:v>Pass</c:v>
                  </c:pt>
                  <c:pt idx="25">
                    <c:v>Pass</c:v>
                  </c:pt>
                  <c:pt idx="26">
                    <c:v>Pass</c:v>
                  </c:pt>
                  <c:pt idx="27">
                    <c:v>Pass</c:v>
                  </c:pt>
                  <c:pt idx="28">
                    <c:v>Pass</c:v>
                  </c:pt>
                  <c:pt idx="29">
                    <c:v>Pass</c:v>
                  </c:pt>
                  <c:pt idx="30">
                    <c:v>Pass</c:v>
                  </c:pt>
                  <c:pt idx="31">
                    <c:v>Pass</c:v>
                  </c:pt>
                  <c:pt idx="32">
                    <c:v>Pass</c:v>
                  </c:pt>
                  <c:pt idx="33">
                    <c:v>Pass</c:v>
                  </c:pt>
                  <c:pt idx="34">
                    <c:v>Pass</c:v>
                  </c:pt>
                  <c:pt idx="35">
                    <c:v>Pass</c:v>
                  </c:pt>
                  <c:pt idx="36">
                    <c:v>Pass</c:v>
                  </c:pt>
                  <c:pt idx="37">
                    <c:v>Pass</c:v>
                  </c:pt>
                  <c:pt idx="38">
                    <c:v>Pass</c:v>
                  </c:pt>
                  <c:pt idx="39">
                    <c:v>Pass</c:v>
                  </c:pt>
                  <c:pt idx="40">
                    <c:v>Pass</c:v>
                  </c:pt>
                  <c:pt idx="41">
                    <c:v>Pass</c:v>
                  </c:pt>
                  <c:pt idx="42">
                    <c:v>Pass</c:v>
                  </c:pt>
                  <c:pt idx="43">
                    <c:v>Pass</c:v>
                  </c:pt>
                  <c:pt idx="44">
                    <c:v>Pass</c:v>
                  </c:pt>
                  <c:pt idx="45">
                    <c:v>Pass</c:v>
                  </c:pt>
                  <c:pt idx="46">
                    <c:v>Pass</c:v>
                  </c:pt>
                  <c:pt idx="47">
                    <c:v>Pass</c:v>
                  </c:pt>
                  <c:pt idx="48">
                    <c:v>Pass</c:v>
                  </c:pt>
                  <c:pt idx="49">
                    <c:v>Pass</c:v>
                  </c:pt>
                  <c:pt idx="50">
                    <c:v>Pass</c:v>
                  </c:pt>
                  <c:pt idx="51">
                    <c:v>Pass</c:v>
                  </c:pt>
                  <c:pt idx="52">
                    <c:v>Pass</c:v>
                  </c:pt>
                  <c:pt idx="53">
                    <c:v>Pass</c:v>
                  </c:pt>
                  <c:pt idx="54">
                    <c:v>Pass</c:v>
                  </c:pt>
                  <c:pt idx="55">
                    <c:v>Pass</c:v>
                  </c:pt>
                  <c:pt idx="56">
                    <c:v>Pass</c:v>
                  </c:pt>
                  <c:pt idx="57">
                    <c:v>Pass</c:v>
                  </c:pt>
                  <c:pt idx="58">
                    <c:v>Pass</c:v>
                  </c:pt>
                  <c:pt idx="59">
                    <c:v>Pass</c:v>
                  </c:pt>
                  <c:pt idx="60">
                    <c:v>Pass</c:v>
                  </c:pt>
                  <c:pt idx="61">
                    <c:v>Pass</c:v>
                  </c:pt>
                  <c:pt idx="62">
                    <c:v>Pass</c:v>
                  </c:pt>
                  <c:pt idx="63">
                    <c:v>Pass</c:v>
                  </c:pt>
                  <c:pt idx="64">
                    <c:v>Pass</c:v>
                  </c:pt>
                  <c:pt idx="65">
                    <c:v>Pass</c:v>
                  </c:pt>
                  <c:pt idx="66">
                    <c:v>Pass</c:v>
                  </c:pt>
                  <c:pt idx="67">
                    <c:v>Pass</c:v>
                  </c:pt>
                  <c:pt idx="68">
                    <c:v>Pass</c:v>
                  </c:pt>
                  <c:pt idx="69">
                    <c:v>Pass</c:v>
                  </c:pt>
                  <c:pt idx="70">
                    <c:v>Pass</c:v>
                  </c:pt>
                  <c:pt idx="71">
                    <c:v>Pass</c:v>
                  </c:pt>
                  <c:pt idx="72">
                    <c:v>Pass</c:v>
                  </c:pt>
                  <c:pt idx="73">
                    <c:v>Pass</c:v>
                  </c:pt>
                  <c:pt idx="74">
                    <c:v>Pass</c:v>
                  </c:pt>
                  <c:pt idx="75">
                    <c:v>Pass</c:v>
                  </c:pt>
                  <c:pt idx="76">
                    <c:v>Fail</c:v>
                  </c:pt>
                  <c:pt idx="77">
                    <c:v>Pass</c:v>
                  </c:pt>
                  <c:pt idx="78">
                    <c:v>Pass</c:v>
                  </c:pt>
                  <c:pt idx="79">
                    <c:v>Pass</c:v>
                  </c:pt>
                  <c:pt idx="80">
                    <c:v>Pass</c:v>
                  </c:pt>
                  <c:pt idx="81">
                    <c:v>Fail</c:v>
                  </c:pt>
                  <c:pt idx="82">
                    <c:v>Pass</c:v>
                  </c:pt>
                  <c:pt idx="83">
                    <c:v>Pass</c:v>
                  </c:pt>
                  <c:pt idx="84">
                    <c:v>Pass</c:v>
                  </c:pt>
                  <c:pt idx="85">
                    <c:v>Pass</c:v>
                  </c:pt>
                  <c:pt idx="86">
                    <c:v>Pass</c:v>
                  </c:pt>
                  <c:pt idx="87">
                    <c:v>Pass</c:v>
                  </c:pt>
                  <c:pt idx="88">
                    <c:v>Pass</c:v>
                  </c:pt>
                  <c:pt idx="89">
                    <c:v>Pass</c:v>
                  </c:pt>
                  <c:pt idx="90">
                    <c:v>Pass</c:v>
                  </c:pt>
                  <c:pt idx="91">
                    <c:v>Pass</c:v>
                  </c:pt>
                  <c:pt idx="92">
                    <c:v>Pass</c:v>
                  </c:pt>
                  <c:pt idx="93">
                    <c:v>Pass</c:v>
                  </c:pt>
                  <c:pt idx="94">
                    <c:v>Pass</c:v>
                  </c:pt>
                  <c:pt idx="95">
                    <c:v>Pass</c:v>
                  </c:pt>
                  <c:pt idx="96">
                    <c:v>Pass</c:v>
                  </c:pt>
                  <c:pt idx="97">
                    <c:v>Pass</c:v>
                  </c:pt>
                  <c:pt idx="98">
                    <c:v>Pass</c:v>
                  </c:pt>
                  <c:pt idx="99">
                    <c:v>Pass</c:v>
                  </c:pt>
                  <c:pt idx="100">
                    <c:v>Pass</c:v>
                  </c:pt>
                  <c:pt idx="101">
                    <c:v>Pass</c:v>
                  </c:pt>
                  <c:pt idx="102">
                    <c:v>Pass</c:v>
                  </c:pt>
                  <c:pt idx="103">
                    <c:v>Pass</c:v>
                  </c:pt>
                  <c:pt idx="104">
                    <c:v>Pass</c:v>
                  </c:pt>
                  <c:pt idx="105">
                    <c:v>Pass</c:v>
                  </c:pt>
                  <c:pt idx="106">
                    <c:v>Pass</c:v>
                  </c:pt>
                  <c:pt idx="107">
                    <c:v>Pass</c:v>
                  </c:pt>
                  <c:pt idx="108">
                    <c:v>Pass</c:v>
                  </c:pt>
                  <c:pt idx="109">
                    <c:v>Pass</c:v>
                  </c:pt>
                  <c:pt idx="110">
                    <c:v>Pass</c:v>
                  </c:pt>
                  <c:pt idx="111">
                    <c:v>Pass</c:v>
                  </c:pt>
                  <c:pt idx="112">
                    <c:v>Pass</c:v>
                  </c:pt>
                  <c:pt idx="113">
                    <c:v>Pass</c:v>
                  </c:pt>
                  <c:pt idx="114">
                    <c:v>Pass</c:v>
                  </c:pt>
                  <c:pt idx="115">
                    <c:v>Pass</c:v>
                  </c:pt>
                  <c:pt idx="116">
                    <c:v>Pass</c:v>
                  </c:pt>
                  <c:pt idx="117">
                    <c:v>Pass</c:v>
                  </c:pt>
                  <c:pt idx="118">
                    <c:v>Pass</c:v>
                  </c:pt>
                  <c:pt idx="119">
                    <c:v>Pass</c:v>
                  </c:pt>
                  <c:pt idx="120">
                    <c:v>Pass</c:v>
                  </c:pt>
                  <c:pt idx="121">
                    <c:v>Pass</c:v>
                  </c:pt>
                  <c:pt idx="122">
                    <c:v>Pass</c:v>
                  </c:pt>
                  <c:pt idx="123">
                    <c:v>Pass</c:v>
                  </c:pt>
                  <c:pt idx="124">
                    <c:v>Pass</c:v>
                  </c:pt>
                  <c:pt idx="125">
                    <c:v>Pass</c:v>
                  </c:pt>
                  <c:pt idx="126">
                    <c:v>Pass</c:v>
                  </c:pt>
                  <c:pt idx="127">
                    <c:v>Pass</c:v>
                  </c:pt>
                  <c:pt idx="128">
                    <c:v>Pass</c:v>
                  </c:pt>
                  <c:pt idx="129">
                    <c:v>Pass</c:v>
                  </c:pt>
                </c:lvl>
                <c:lvl>
                  <c:pt idx="0">
                    <c:v>B</c:v>
                  </c:pt>
                  <c:pt idx="1">
                    <c:v>D</c:v>
                  </c:pt>
                  <c:pt idx="2">
                    <c:v>B</c:v>
                  </c:pt>
                  <c:pt idx="3">
                    <c:v>C</c:v>
                  </c:pt>
                  <c:pt idx="4">
                    <c:v>C</c:v>
                  </c:pt>
                  <c:pt idx="5">
                    <c:v>B</c:v>
                  </c:pt>
                  <c:pt idx="6">
                    <c:v>D</c:v>
                  </c:pt>
                  <c:pt idx="7">
                    <c:v>C</c:v>
                  </c:pt>
                  <c:pt idx="8">
                    <c:v>C</c:v>
                  </c:pt>
                  <c:pt idx="9">
                    <c:v>C</c:v>
                  </c:pt>
                  <c:pt idx="10">
                    <c:v>A</c:v>
                  </c:pt>
                  <c:pt idx="11">
                    <c:v>C</c:v>
                  </c:pt>
                  <c:pt idx="12">
                    <c:v>C</c:v>
                  </c:pt>
                  <c:pt idx="13">
                    <c:v>D</c:v>
                  </c:pt>
                  <c:pt idx="14">
                    <c:v>B</c:v>
                  </c:pt>
                  <c:pt idx="15">
                    <c:v>D</c:v>
                  </c:pt>
                  <c:pt idx="16">
                    <c:v>C</c:v>
                  </c:pt>
                  <c:pt idx="17">
                    <c:v>D</c:v>
                  </c:pt>
                  <c:pt idx="18">
                    <c:v>D</c:v>
                  </c:pt>
                  <c:pt idx="19">
                    <c:v>D</c:v>
                  </c:pt>
                  <c:pt idx="20">
                    <c:v>B</c:v>
                  </c:pt>
                  <c:pt idx="21">
                    <c:v>B</c:v>
                  </c:pt>
                  <c:pt idx="22">
                    <c:v>D</c:v>
                  </c:pt>
                  <c:pt idx="23">
                    <c:v>D</c:v>
                  </c:pt>
                  <c:pt idx="24">
                    <c:v>B</c:v>
                  </c:pt>
                  <c:pt idx="25">
                    <c:v>C</c:v>
                  </c:pt>
                  <c:pt idx="26">
                    <c:v>B</c:v>
                  </c:pt>
                  <c:pt idx="27">
                    <c:v>C</c:v>
                  </c:pt>
                  <c:pt idx="28">
                    <c:v>D</c:v>
                  </c:pt>
                  <c:pt idx="29">
                    <c:v>C</c:v>
                  </c:pt>
                  <c:pt idx="30">
                    <c:v>C</c:v>
                  </c:pt>
                  <c:pt idx="31">
                    <c:v>B</c:v>
                  </c:pt>
                  <c:pt idx="32">
                    <c:v>C</c:v>
                  </c:pt>
                  <c:pt idx="33">
                    <c:v>C</c:v>
                  </c:pt>
                  <c:pt idx="34">
                    <c:v>C</c:v>
                  </c:pt>
                  <c:pt idx="35">
                    <c:v>B</c:v>
                  </c:pt>
                  <c:pt idx="36">
                    <c:v>C</c:v>
                  </c:pt>
                  <c:pt idx="37">
                    <c:v>C</c:v>
                  </c:pt>
                  <c:pt idx="38">
                    <c:v>C</c:v>
                  </c:pt>
                  <c:pt idx="39">
                    <c:v>C</c:v>
                  </c:pt>
                  <c:pt idx="40">
                    <c:v>C</c:v>
                  </c:pt>
                  <c:pt idx="41">
                    <c:v>C</c:v>
                  </c:pt>
                  <c:pt idx="42">
                    <c:v>C</c:v>
                  </c:pt>
                  <c:pt idx="43">
                    <c:v>D</c:v>
                  </c:pt>
                  <c:pt idx="44">
                    <c:v>C</c:v>
                  </c:pt>
                  <c:pt idx="45">
                    <c:v>D</c:v>
                  </c:pt>
                  <c:pt idx="46">
                    <c:v>B</c:v>
                  </c:pt>
                  <c:pt idx="47">
                    <c:v>B</c:v>
                  </c:pt>
                  <c:pt idx="48">
                    <c:v>A</c:v>
                  </c:pt>
                  <c:pt idx="49">
                    <c:v>C</c:v>
                  </c:pt>
                  <c:pt idx="50">
                    <c:v>C</c:v>
                  </c:pt>
                  <c:pt idx="51">
                    <c:v>C</c:v>
                  </c:pt>
                  <c:pt idx="52">
                    <c:v>C</c:v>
                  </c:pt>
                  <c:pt idx="53">
                    <c:v>B</c:v>
                  </c:pt>
                  <c:pt idx="54">
                    <c:v>C</c:v>
                  </c:pt>
                  <c:pt idx="55">
                    <c:v>C</c:v>
                  </c:pt>
                  <c:pt idx="56">
                    <c:v>C</c:v>
                  </c:pt>
                  <c:pt idx="57">
                    <c:v>C</c:v>
                  </c:pt>
                  <c:pt idx="58">
                    <c:v>B</c:v>
                  </c:pt>
                  <c:pt idx="59">
                    <c:v>B</c:v>
                  </c:pt>
                  <c:pt idx="60">
                    <c:v>C</c:v>
                  </c:pt>
                  <c:pt idx="61">
                    <c:v>C</c:v>
                  </c:pt>
                  <c:pt idx="62">
                    <c:v>C</c:v>
                  </c:pt>
                  <c:pt idx="63">
                    <c:v>C</c:v>
                  </c:pt>
                  <c:pt idx="64">
                    <c:v>B</c:v>
                  </c:pt>
                  <c:pt idx="65">
                    <c:v>C</c:v>
                  </c:pt>
                  <c:pt idx="66">
                    <c:v>D</c:v>
                  </c:pt>
                  <c:pt idx="67">
                    <c:v>C</c:v>
                  </c:pt>
                  <c:pt idx="68">
                    <c:v>B</c:v>
                  </c:pt>
                  <c:pt idx="69">
                    <c:v>B</c:v>
                  </c:pt>
                  <c:pt idx="70">
                    <c:v>C</c:v>
                  </c:pt>
                  <c:pt idx="71">
                    <c:v>C</c:v>
                  </c:pt>
                  <c:pt idx="72">
                    <c:v>B</c:v>
                  </c:pt>
                  <c:pt idx="73">
                    <c:v>B</c:v>
                  </c:pt>
                  <c:pt idx="74">
                    <c:v>D</c:v>
                  </c:pt>
                  <c:pt idx="75">
                    <c:v>D</c:v>
                  </c:pt>
                  <c:pt idx="76">
                    <c:v>F</c:v>
                  </c:pt>
                  <c:pt idx="77">
                    <c:v>C</c:v>
                  </c:pt>
                  <c:pt idx="78">
                    <c:v>B</c:v>
                  </c:pt>
                  <c:pt idx="79">
                    <c:v>D</c:v>
                  </c:pt>
                  <c:pt idx="80">
                    <c:v>C</c:v>
                  </c:pt>
                  <c:pt idx="81">
                    <c:v>F</c:v>
                  </c:pt>
                  <c:pt idx="82">
                    <c:v>C</c:v>
                  </c:pt>
                  <c:pt idx="83">
                    <c:v>C</c:v>
                  </c:pt>
                  <c:pt idx="84">
                    <c:v>C</c:v>
                  </c:pt>
                  <c:pt idx="85">
                    <c:v>B</c:v>
                  </c:pt>
                  <c:pt idx="86">
                    <c:v>C</c:v>
                  </c:pt>
                  <c:pt idx="87">
                    <c:v>B</c:v>
                  </c:pt>
                  <c:pt idx="88">
                    <c:v>C</c:v>
                  </c:pt>
                  <c:pt idx="89">
                    <c:v>B</c:v>
                  </c:pt>
                  <c:pt idx="90">
                    <c:v>C</c:v>
                  </c:pt>
                  <c:pt idx="91">
                    <c:v>D</c:v>
                  </c:pt>
                  <c:pt idx="92">
                    <c:v>D</c:v>
                  </c:pt>
                  <c:pt idx="93">
                    <c:v>D</c:v>
                  </c:pt>
                  <c:pt idx="94">
                    <c:v>B</c:v>
                  </c:pt>
                  <c:pt idx="95">
                    <c:v>B</c:v>
                  </c:pt>
                  <c:pt idx="96">
                    <c:v>B</c:v>
                  </c:pt>
                  <c:pt idx="97">
                    <c:v>D</c:v>
                  </c:pt>
                  <c:pt idx="98">
                    <c:v>C</c:v>
                  </c:pt>
                  <c:pt idx="99">
                    <c:v>C</c:v>
                  </c:pt>
                  <c:pt idx="100">
                    <c:v>C</c:v>
                  </c:pt>
                  <c:pt idx="101">
                    <c:v>B</c:v>
                  </c:pt>
                  <c:pt idx="102">
                    <c:v>B</c:v>
                  </c:pt>
                  <c:pt idx="103">
                    <c:v>B</c:v>
                  </c:pt>
                  <c:pt idx="104">
                    <c:v>C</c:v>
                  </c:pt>
                  <c:pt idx="105">
                    <c:v>C</c:v>
                  </c:pt>
                  <c:pt idx="106">
                    <c:v>C</c:v>
                  </c:pt>
                  <c:pt idx="107">
                    <c:v>C</c:v>
                  </c:pt>
                  <c:pt idx="108">
                    <c:v>D</c:v>
                  </c:pt>
                  <c:pt idx="109">
                    <c:v>C</c:v>
                  </c:pt>
                  <c:pt idx="110">
                    <c:v>D</c:v>
                  </c:pt>
                  <c:pt idx="111">
                    <c:v>C</c:v>
                  </c:pt>
                  <c:pt idx="112">
                    <c:v>C</c:v>
                  </c:pt>
                  <c:pt idx="113">
                    <c:v>B</c:v>
                  </c:pt>
                  <c:pt idx="114">
                    <c:v>B</c:v>
                  </c:pt>
                  <c:pt idx="115">
                    <c:v>B</c:v>
                  </c:pt>
                  <c:pt idx="116">
                    <c:v>D</c:v>
                  </c:pt>
                  <c:pt idx="117">
                    <c:v>D</c:v>
                  </c:pt>
                  <c:pt idx="118">
                    <c:v>B</c:v>
                  </c:pt>
                  <c:pt idx="119">
                    <c:v>C</c:v>
                  </c:pt>
                  <c:pt idx="120">
                    <c:v>C</c:v>
                  </c:pt>
                  <c:pt idx="121">
                    <c:v>B</c:v>
                  </c:pt>
                  <c:pt idx="122">
                    <c:v>D</c:v>
                  </c:pt>
                  <c:pt idx="123">
                    <c:v>C</c:v>
                  </c:pt>
                  <c:pt idx="124">
                    <c:v>D</c:v>
                  </c:pt>
                  <c:pt idx="125">
                    <c:v>C</c:v>
                  </c:pt>
                  <c:pt idx="126">
                    <c:v>C</c:v>
                  </c:pt>
                  <c:pt idx="127">
                    <c:v>C</c:v>
                  </c:pt>
                  <c:pt idx="128">
                    <c:v>C</c:v>
                  </c:pt>
                  <c:pt idx="129">
                    <c:v>B</c:v>
                  </c:pt>
                </c:lvl>
                <c:lvl>
                  <c:pt idx="0">
                    <c:v>Completed </c:v>
                  </c:pt>
                  <c:pt idx="1">
                    <c:v>Incomplete</c:v>
                  </c:pt>
                  <c:pt idx="2">
                    <c:v>Completed </c:v>
                  </c:pt>
                  <c:pt idx="3">
                    <c:v>Incomplete</c:v>
                  </c:pt>
                  <c:pt idx="4">
                    <c:v>Completed </c:v>
                  </c:pt>
                  <c:pt idx="5">
                    <c:v>Incomplete</c:v>
                  </c:pt>
                  <c:pt idx="6">
                    <c:v>Completed </c:v>
                  </c:pt>
                  <c:pt idx="7">
                    <c:v>Incomplete</c:v>
                  </c:pt>
                  <c:pt idx="8">
                    <c:v>Completed </c:v>
                  </c:pt>
                  <c:pt idx="9">
                    <c:v>Completed </c:v>
                  </c:pt>
                  <c:pt idx="10">
                    <c:v>Incomplete</c:v>
                  </c:pt>
                  <c:pt idx="11">
                    <c:v>Completed </c:v>
                  </c:pt>
                  <c:pt idx="12">
                    <c:v>Incomplete</c:v>
                  </c:pt>
                  <c:pt idx="13">
                    <c:v>Completed </c:v>
                  </c:pt>
                  <c:pt idx="14">
                    <c:v>Completed </c:v>
                  </c:pt>
                  <c:pt idx="15">
                    <c:v>Completed </c:v>
                  </c:pt>
                  <c:pt idx="16">
                    <c:v>Incomplete</c:v>
                  </c:pt>
                  <c:pt idx="17">
                    <c:v>Incomplete</c:v>
                  </c:pt>
                  <c:pt idx="18">
                    <c:v>Completed </c:v>
                  </c:pt>
                  <c:pt idx="19">
                    <c:v>Incomplete</c:v>
                  </c:pt>
                  <c:pt idx="20">
                    <c:v>Completed </c:v>
                  </c:pt>
                  <c:pt idx="21">
                    <c:v>Incomplete</c:v>
                  </c:pt>
                  <c:pt idx="22">
                    <c:v>Completed </c:v>
                  </c:pt>
                  <c:pt idx="23">
                    <c:v>Incomplete</c:v>
                  </c:pt>
                  <c:pt idx="24">
                    <c:v>Completed </c:v>
                  </c:pt>
                  <c:pt idx="25">
                    <c:v>Completed </c:v>
                  </c:pt>
                  <c:pt idx="26">
                    <c:v>Completed </c:v>
                  </c:pt>
                  <c:pt idx="27">
                    <c:v>Incomplete</c:v>
                  </c:pt>
                  <c:pt idx="28">
                    <c:v>Completed </c:v>
                  </c:pt>
                  <c:pt idx="29">
                    <c:v>Incomplete</c:v>
                  </c:pt>
                  <c:pt idx="30">
                    <c:v>Completed </c:v>
                  </c:pt>
                  <c:pt idx="31">
                    <c:v>Incomplete</c:v>
                  </c:pt>
                  <c:pt idx="32">
                    <c:v>Completed </c:v>
                  </c:pt>
                  <c:pt idx="33">
                    <c:v>Incomplete</c:v>
                  </c:pt>
                  <c:pt idx="34">
                    <c:v>Completed </c:v>
                  </c:pt>
                  <c:pt idx="35">
                    <c:v>Completed </c:v>
                  </c:pt>
                  <c:pt idx="36">
                    <c:v>Completed </c:v>
                  </c:pt>
                  <c:pt idx="37">
                    <c:v>Incomplete</c:v>
                  </c:pt>
                  <c:pt idx="38">
                    <c:v>Completed </c:v>
                  </c:pt>
                  <c:pt idx="39">
                    <c:v>Completed </c:v>
                  </c:pt>
                  <c:pt idx="40">
                    <c:v>Incomplete</c:v>
                  </c:pt>
                  <c:pt idx="41">
                    <c:v>Incomplete</c:v>
                  </c:pt>
                  <c:pt idx="42">
                    <c:v>Incomplete</c:v>
                  </c:pt>
                  <c:pt idx="43">
                    <c:v>Completed </c:v>
                  </c:pt>
                  <c:pt idx="44">
                    <c:v>Incomplete</c:v>
                  </c:pt>
                  <c:pt idx="45">
                    <c:v>Incomplete</c:v>
                  </c:pt>
                  <c:pt idx="46">
                    <c:v>Completed </c:v>
                  </c:pt>
                  <c:pt idx="47">
                    <c:v>Incomplete</c:v>
                  </c:pt>
                  <c:pt idx="48">
                    <c:v>Incomplete</c:v>
                  </c:pt>
                  <c:pt idx="49">
                    <c:v>Completed </c:v>
                  </c:pt>
                  <c:pt idx="50">
                    <c:v>Incomplete</c:v>
                  </c:pt>
                  <c:pt idx="51">
                    <c:v>Completed </c:v>
                  </c:pt>
                  <c:pt idx="52">
                    <c:v>Incomplete</c:v>
                  </c:pt>
                  <c:pt idx="53">
                    <c:v>Completed </c:v>
                  </c:pt>
                  <c:pt idx="54">
                    <c:v>Incomplete</c:v>
                  </c:pt>
                  <c:pt idx="55">
                    <c:v>Completed </c:v>
                  </c:pt>
                  <c:pt idx="56">
                    <c:v>Incomplete</c:v>
                  </c:pt>
                  <c:pt idx="57">
                    <c:v>Completed </c:v>
                  </c:pt>
                  <c:pt idx="58">
                    <c:v>Incomplete</c:v>
                  </c:pt>
                  <c:pt idx="59">
                    <c:v>Completed </c:v>
                  </c:pt>
                  <c:pt idx="60">
                    <c:v>Completed </c:v>
                  </c:pt>
                  <c:pt idx="61">
                    <c:v>Completed </c:v>
                  </c:pt>
                  <c:pt idx="62">
                    <c:v>Completed </c:v>
                  </c:pt>
                  <c:pt idx="63">
                    <c:v>Incomplete</c:v>
                  </c:pt>
                  <c:pt idx="64">
                    <c:v>Incomplete</c:v>
                  </c:pt>
                  <c:pt idx="65">
                    <c:v>Completed </c:v>
                  </c:pt>
                  <c:pt idx="66">
                    <c:v>Completed </c:v>
                  </c:pt>
                  <c:pt idx="67">
                    <c:v>Incomplete</c:v>
                  </c:pt>
                  <c:pt idx="68">
                    <c:v>Completed </c:v>
                  </c:pt>
                  <c:pt idx="69">
                    <c:v>Completed </c:v>
                  </c:pt>
                  <c:pt idx="70">
                    <c:v>Completed </c:v>
                  </c:pt>
                  <c:pt idx="71">
                    <c:v>Incomplete</c:v>
                  </c:pt>
                  <c:pt idx="72">
                    <c:v>Incomplete</c:v>
                  </c:pt>
                  <c:pt idx="73">
                    <c:v>Incomplete</c:v>
                  </c:pt>
                  <c:pt idx="74">
                    <c:v>Completed </c:v>
                  </c:pt>
                  <c:pt idx="75">
                    <c:v>Completed </c:v>
                  </c:pt>
                  <c:pt idx="76">
                    <c:v>Incomplete</c:v>
                  </c:pt>
                  <c:pt idx="77">
                    <c:v>Incomplete</c:v>
                  </c:pt>
                  <c:pt idx="78">
                    <c:v>Completed </c:v>
                  </c:pt>
                  <c:pt idx="79">
                    <c:v>Incomplete</c:v>
                  </c:pt>
                  <c:pt idx="80">
                    <c:v>Completed </c:v>
                  </c:pt>
                  <c:pt idx="81">
                    <c:v>Completed </c:v>
                  </c:pt>
                  <c:pt idx="82">
                    <c:v>Incomplete</c:v>
                  </c:pt>
                  <c:pt idx="83">
                    <c:v>Incomplete</c:v>
                  </c:pt>
                  <c:pt idx="84">
                    <c:v>Completed </c:v>
                  </c:pt>
                  <c:pt idx="85">
                    <c:v>Incomplete</c:v>
                  </c:pt>
                  <c:pt idx="86">
                    <c:v>Completed </c:v>
                  </c:pt>
                  <c:pt idx="87">
                    <c:v>Completed </c:v>
                  </c:pt>
                  <c:pt idx="88">
                    <c:v>Incomplete</c:v>
                  </c:pt>
                  <c:pt idx="89">
                    <c:v>Completed </c:v>
                  </c:pt>
                  <c:pt idx="90">
                    <c:v>Incomplete</c:v>
                  </c:pt>
                  <c:pt idx="91">
                    <c:v>Completed </c:v>
                  </c:pt>
                  <c:pt idx="92">
                    <c:v>Completed </c:v>
                  </c:pt>
                  <c:pt idx="93">
                    <c:v>Incomplete</c:v>
                  </c:pt>
                  <c:pt idx="94">
                    <c:v>Completed </c:v>
                  </c:pt>
                  <c:pt idx="95">
                    <c:v>Completed </c:v>
                  </c:pt>
                  <c:pt idx="96">
                    <c:v>Incomplete</c:v>
                  </c:pt>
                  <c:pt idx="97">
                    <c:v>Incomplete</c:v>
                  </c:pt>
                  <c:pt idx="98">
                    <c:v>Incomplete</c:v>
                  </c:pt>
                  <c:pt idx="99">
                    <c:v>Completed </c:v>
                  </c:pt>
                  <c:pt idx="100">
                    <c:v>Completed </c:v>
                  </c:pt>
                  <c:pt idx="101">
                    <c:v>Incomplete</c:v>
                  </c:pt>
                  <c:pt idx="102">
                    <c:v>Completed </c:v>
                  </c:pt>
                  <c:pt idx="103">
                    <c:v>Incomplete</c:v>
                  </c:pt>
                  <c:pt idx="104">
                    <c:v>Completed </c:v>
                  </c:pt>
                  <c:pt idx="105">
                    <c:v>Incomplete</c:v>
                  </c:pt>
                  <c:pt idx="106">
                    <c:v>Completed </c:v>
                  </c:pt>
                  <c:pt idx="107">
                    <c:v>Completed </c:v>
                  </c:pt>
                  <c:pt idx="108">
                    <c:v>Incomplete</c:v>
                  </c:pt>
                  <c:pt idx="109">
                    <c:v>Incomplete</c:v>
                  </c:pt>
                  <c:pt idx="110">
                    <c:v>Completed </c:v>
                  </c:pt>
                  <c:pt idx="111">
                    <c:v>Completed </c:v>
                  </c:pt>
                  <c:pt idx="112">
                    <c:v>Incomplete</c:v>
                  </c:pt>
                  <c:pt idx="113">
                    <c:v>Incomplete</c:v>
                  </c:pt>
                  <c:pt idx="114">
                    <c:v>Completed </c:v>
                  </c:pt>
                  <c:pt idx="115">
                    <c:v>Incomplete</c:v>
                  </c:pt>
                  <c:pt idx="116">
                    <c:v>Completed </c:v>
                  </c:pt>
                  <c:pt idx="117">
                    <c:v>Completed </c:v>
                  </c:pt>
                  <c:pt idx="118">
                    <c:v>Incomplete</c:v>
                  </c:pt>
                  <c:pt idx="119">
                    <c:v>Incomplete</c:v>
                  </c:pt>
                  <c:pt idx="120">
                    <c:v>Completed </c:v>
                  </c:pt>
                  <c:pt idx="121">
                    <c:v>Incomplete</c:v>
                  </c:pt>
                  <c:pt idx="122">
                    <c:v>Incomplete</c:v>
                  </c:pt>
                  <c:pt idx="123">
                    <c:v>Completed </c:v>
                  </c:pt>
                  <c:pt idx="124">
                    <c:v>Incomplete</c:v>
                  </c:pt>
                  <c:pt idx="125">
                    <c:v>Completed </c:v>
                  </c:pt>
                  <c:pt idx="126">
                    <c:v>Completed </c:v>
                  </c:pt>
                  <c:pt idx="127">
                    <c:v>Incomplete</c:v>
                  </c:pt>
                  <c:pt idx="128">
                    <c:v>Incomplete</c:v>
                  </c:pt>
                  <c:pt idx="129">
                    <c:v>Completed </c:v>
                  </c:pt>
                </c:lvl>
                <c:lvl>
                  <c:pt idx="0">
                    <c:v>Group B </c:v>
                  </c:pt>
                  <c:pt idx="1">
                    <c:v>Group D </c:v>
                  </c:pt>
                  <c:pt idx="2">
                    <c:v>Group C</c:v>
                  </c:pt>
                  <c:pt idx="3">
                    <c:v>Group D </c:v>
                  </c:pt>
                  <c:pt idx="4">
                    <c:v>Group B </c:v>
                  </c:pt>
                  <c:pt idx="5">
                    <c:v>Group A </c:v>
                  </c:pt>
                  <c:pt idx="6">
                    <c:v>Group C</c:v>
                  </c:pt>
                  <c:pt idx="7">
                    <c:v>Group D </c:v>
                  </c:pt>
                  <c:pt idx="8">
                    <c:v>Group B </c:v>
                  </c:pt>
                  <c:pt idx="9">
                    <c:v>Group E </c:v>
                  </c:pt>
                  <c:pt idx="10">
                    <c:v>Group C</c:v>
                  </c:pt>
                  <c:pt idx="11">
                    <c:v>Group A </c:v>
                  </c:pt>
                  <c:pt idx="12">
                    <c:v>Group D </c:v>
                  </c:pt>
                  <c:pt idx="13">
                    <c:v>Group E </c:v>
                  </c:pt>
                  <c:pt idx="14">
                    <c:v>Group C</c:v>
                  </c:pt>
                  <c:pt idx="15">
                    <c:v>Group A </c:v>
                  </c:pt>
                  <c:pt idx="16">
                    <c:v>Group D </c:v>
                  </c:pt>
                  <c:pt idx="17">
                    <c:v>Group E </c:v>
                  </c:pt>
                  <c:pt idx="18">
                    <c:v>Group C</c:v>
                  </c:pt>
                  <c:pt idx="19">
                    <c:v>Group A </c:v>
                  </c:pt>
                  <c:pt idx="20">
                    <c:v>Group D </c:v>
                  </c:pt>
                  <c:pt idx="21">
                    <c:v>Group C</c:v>
                  </c:pt>
                  <c:pt idx="22">
                    <c:v>Group A </c:v>
                  </c:pt>
                  <c:pt idx="23">
                    <c:v>Group B </c:v>
                  </c:pt>
                  <c:pt idx="24">
                    <c:v>Group C</c:v>
                  </c:pt>
                  <c:pt idx="25">
                    <c:v>Group A </c:v>
                  </c:pt>
                  <c:pt idx="26">
                    <c:v>Group A </c:v>
                  </c:pt>
                  <c:pt idx="27">
                    <c:v>Group E </c:v>
                  </c:pt>
                  <c:pt idx="28">
                    <c:v>Group D </c:v>
                  </c:pt>
                  <c:pt idx="29">
                    <c:v>Group C</c:v>
                  </c:pt>
                  <c:pt idx="30">
                    <c:v>Group D </c:v>
                  </c:pt>
                  <c:pt idx="31">
                    <c:v>Group A </c:v>
                  </c:pt>
                  <c:pt idx="32">
                    <c:v>Group B </c:v>
                  </c:pt>
                  <c:pt idx="33">
                    <c:v>Group E </c:v>
                  </c:pt>
                  <c:pt idx="34">
                    <c:v>Group C</c:v>
                  </c:pt>
                  <c:pt idx="35">
                    <c:v>Group E </c:v>
                  </c:pt>
                  <c:pt idx="36">
                    <c:v>Group D </c:v>
                  </c:pt>
                  <c:pt idx="37">
                    <c:v>Group A </c:v>
                  </c:pt>
                  <c:pt idx="38">
                    <c:v>Group E </c:v>
                  </c:pt>
                  <c:pt idx="39">
                    <c:v>Group C</c:v>
                  </c:pt>
                  <c:pt idx="40">
                    <c:v>Group D </c:v>
                  </c:pt>
                  <c:pt idx="41">
                    <c:v>Group B </c:v>
                  </c:pt>
                  <c:pt idx="42">
                    <c:v>Group A </c:v>
                  </c:pt>
                  <c:pt idx="43">
                    <c:v>Group E </c:v>
                  </c:pt>
                  <c:pt idx="44">
                    <c:v>Group C</c:v>
                  </c:pt>
                  <c:pt idx="45">
                    <c:v>Group D </c:v>
                  </c:pt>
                  <c:pt idx="46">
                    <c:v>Group E </c:v>
                  </c:pt>
                  <c:pt idx="47">
                    <c:v>Group B </c:v>
                  </c:pt>
                  <c:pt idx="48">
                    <c:v>Group A </c:v>
                  </c:pt>
                  <c:pt idx="49">
                    <c:v>Group C</c:v>
                  </c:pt>
                  <c:pt idx="50">
                    <c:v>Group E </c:v>
                  </c:pt>
                  <c:pt idx="51">
                    <c:v>Group B </c:v>
                  </c:pt>
                  <c:pt idx="52">
                    <c:v>Group D </c:v>
                  </c:pt>
                  <c:pt idx="53">
                    <c:v>Group A </c:v>
                  </c:pt>
                  <c:pt idx="54">
                    <c:v>Group E </c:v>
                  </c:pt>
                  <c:pt idx="55">
                    <c:v>Group C</c:v>
                  </c:pt>
                  <c:pt idx="56">
                    <c:v>Group E </c:v>
                  </c:pt>
                  <c:pt idx="57">
                    <c:v>Group B </c:v>
                  </c:pt>
                  <c:pt idx="58">
                    <c:v>Group A </c:v>
                  </c:pt>
                  <c:pt idx="59">
                    <c:v>Group D </c:v>
                  </c:pt>
                  <c:pt idx="60">
                    <c:v>Group E </c:v>
                  </c:pt>
                  <c:pt idx="61">
                    <c:v>Group C</c:v>
                  </c:pt>
                  <c:pt idx="62">
                    <c:v>Group D </c:v>
                  </c:pt>
                  <c:pt idx="63">
                    <c:v>Group A </c:v>
                  </c:pt>
                  <c:pt idx="64">
                    <c:v>Group E </c:v>
                  </c:pt>
                  <c:pt idx="65">
                    <c:v>Group C</c:v>
                  </c:pt>
                  <c:pt idx="66">
                    <c:v>Group B </c:v>
                  </c:pt>
                  <c:pt idx="67">
                    <c:v>Group A </c:v>
                  </c:pt>
                  <c:pt idx="68">
                    <c:v>Group E </c:v>
                  </c:pt>
                  <c:pt idx="69">
                    <c:v>Group D </c:v>
                  </c:pt>
                  <c:pt idx="70">
                    <c:v>Group C</c:v>
                  </c:pt>
                  <c:pt idx="71">
                    <c:v>Group A </c:v>
                  </c:pt>
                  <c:pt idx="72">
                    <c:v>Group B </c:v>
                  </c:pt>
                  <c:pt idx="73">
                    <c:v>Group D </c:v>
                  </c:pt>
                  <c:pt idx="74">
                    <c:v>Group B </c:v>
                  </c:pt>
                  <c:pt idx="75">
                    <c:v>Group C</c:v>
                  </c:pt>
                  <c:pt idx="76">
                    <c:v>Group A </c:v>
                  </c:pt>
                  <c:pt idx="77">
                    <c:v>Group B </c:v>
                  </c:pt>
                  <c:pt idx="78">
                    <c:v>Group D </c:v>
                  </c:pt>
                  <c:pt idx="79">
                    <c:v>Group E </c:v>
                  </c:pt>
                  <c:pt idx="80">
                    <c:v>Group A </c:v>
                  </c:pt>
                  <c:pt idx="81">
                    <c:v>Group B </c:v>
                  </c:pt>
                  <c:pt idx="82">
                    <c:v>Group D </c:v>
                  </c:pt>
                  <c:pt idx="83">
                    <c:v>Group C</c:v>
                  </c:pt>
                  <c:pt idx="84">
                    <c:v>Group A </c:v>
                  </c:pt>
                  <c:pt idx="85">
                    <c:v>Group C</c:v>
                  </c:pt>
                  <c:pt idx="86">
                    <c:v>Group B </c:v>
                  </c:pt>
                  <c:pt idx="87">
                    <c:v>Group D </c:v>
                  </c:pt>
                  <c:pt idx="88">
                    <c:v>Group C</c:v>
                  </c:pt>
                  <c:pt idx="89">
                    <c:v>Group A </c:v>
                  </c:pt>
                  <c:pt idx="90">
                    <c:v>Group E </c:v>
                  </c:pt>
                  <c:pt idx="91">
                    <c:v>Group B </c:v>
                  </c:pt>
                  <c:pt idx="92">
                    <c:v>Group C</c:v>
                  </c:pt>
                  <c:pt idx="93">
                    <c:v>Group E </c:v>
                  </c:pt>
                  <c:pt idx="94">
                    <c:v>Group A </c:v>
                  </c:pt>
                  <c:pt idx="95">
                    <c:v>Group A </c:v>
                  </c:pt>
                  <c:pt idx="96">
                    <c:v>Group D </c:v>
                  </c:pt>
                  <c:pt idx="97">
                    <c:v>Group B </c:v>
                  </c:pt>
                  <c:pt idx="98">
                    <c:v>Group E </c:v>
                  </c:pt>
                  <c:pt idx="99">
                    <c:v>Group A </c:v>
                  </c:pt>
                  <c:pt idx="100">
                    <c:v>Group B </c:v>
                  </c:pt>
                  <c:pt idx="101">
                    <c:v>Group C</c:v>
                  </c:pt>
                  <c:pt idx="102">
                    <c:v>Group D </c:v>
                  </c:pt>
                  <c:pt idx="103">
                    <c:v>Group B </c:v>
                  </c:pt>
                  <c:pt idx="104">
                    <c:v>Group B </c:v>
                  </c:pt>
                  <c:pt idx="105">
                    <c:v>Group E </c:v>
                  </c:pt>
                  <c:pt idx="106">
                    <c:v>Group A </c:v>
                  </c:pt>
                  <c:pt idx="107">
                    <c:v>Group C</c:v>
                  </c:pt>
                  <c:pt idx="108">
                    <c:v>Group D </c:v>
                  </c:pt>
                  <c:pt idx="109">
                    <c:v>Group E </c:v>
                  </c:pt>
                  <c:pt idx="110">
                    <c:v>Group B </c:v>
                  </c:pt>
                  <c:pt idx="111">
                    <c:v>Group D </c:v>
                  </c:pt>
                  <c:pt idx="112">
                    <c:v>Group C</c:v>
                  </c:pt>
                  <c:pt idx="113">
                    <c:v>Group B </c:v>
                  </c:pt>
                  <c:pt idx="114">
                    <c:v>Group E </c:v>
                  </c:pt>
                  <c:pt idx="115">
                    <c:v>Group A </c:v>
                  </c:pt>
                  <c:pt idx="116">
                    <c:v>Group C</c:v>
                  </c:pt>
                  <c:pt idx="117">
                    <c:v>Group B </c:v>
                  </c:pt>
                  <c:pt idx="118">
                    <c:v>Group D </c:v>
                  </c:pt>
                  <c:pt idx="119">
                    <c:v>Group B </c:v>
                  </c:pt>
                  <c:pt idx="120">
                    <c:v>Group E </c:v>
                  </c:pt>
                  <c:pt idx="121">
                    <c:v>Group B </c:v>
                  </c:pt>
                  <c:pt idx="122">
                    <c:v>Group C</c:v>
                  </c:pt>
                  <c:pt idx="123">
                    <c:v>Group D </c:v>
                  </c:pt>
                  <c:pt idx="124">
                    <c:v>Group E </c:v>
                  </c:pt>
                  <c:pt idx="125">
                    <c:v>Group A </c:v>
                  </c:pt>
                  <c:pt idx="126">
                    <c:v>Group C</c:v>
                  </c:pt>
                  <c:pt idx="127">
                    <c:v>Group B </c:v>
                  </c:pt>
                  <c:pt idx="128">
                    <c:v>Group D </c:v>
                  </c:pt>
                  <c:pt idx="129">
                    <c:v>Group B </c:v>
                  </c:pt>
                </c:lvl>
                <c:lvl>
                  <c:pt idx="0">
                    <c:v>S001</c:v>
                  </c:pt>
                  <c:pt idx="1">
                    <c:v>S002</c:v>
                  </c:pt>
                  <c:pt idx="2">
                    <c:v>S003</c:v>
                  </c:pt>
                  <c:pt idx="3">
                    <c:v>S004</c:v>
                  </c:pt>
                  <c:pt idx="4">
                    <c:v>S005</c:v>
                  </c:pt>
                  <c:pt idx="5">
                    <c:v>S006</c:v>
                  </c:pt>
                  <c:pt idx="6">
                    <c:v>S007</c:v>
                  </c:pt>
                  <c:pt idx="7">
                    <c:v>S008</c:v>
                  </c:pt>
                  <c:pt idx="8">
                    <c:v>S009</c:v>
                  </c:pt>
                  <c:pt idx="9">
                    <c:v>S010</c:v>
                  </c:pt>
                  <c:pt idx="10">
                    <c:v>S011</c:v>
                  </c:pt>
                  <c:pt idx="11">
                    <c:v>S012</c:v>
                  </c:pt>
                  <c:pt idx="12">
                    <c:v>S013</c:v>
                  </c:pt>
                  <c:pt idx="13">
                    <c:v>S014</c:v>
                  </c:pt>
                  <c:pt idx="14">
                    <c:v>S015</c:v>
                  </c:pt>
                  <c:pt idx="15">
                    <c:v>S016</c:v>
                  </c:pt>
                  <c:pt idx="16">
                    <c:v>S017</c:v>
                  </c:pt>
                  <c:pt idx="17">
                    <c:v>S018</c:v>
                  </c:pt>
                  <c:pt idx="18">
                    <c:v>S019</c:v>
                  </c:pt>
                  <c:pt idx="19">
                    <c:v>S020</c:v>
                  </c:pt>
                  <c:pt idx="20">
                    <c:v>S021</c:v>
                  </c:pt>
                  <c:pt idx="21">
                    <c:v>S022</c:v>
                  </c:pt>
                  <c:pt idx="22">
                    <c:v>S023</c:v>
                  </c:pt>
                  <c:pt idx="23">
                    <c:v>S024</c:v>
                  </c:pt>
                  <c:pt idx="24">
                    <c:v>S025</c:v>
                  </c:pt>
                  <c:pt idx="25">
                    <c:v>S026</c:v>
                  </c:pt>
                  <c:pt idx="26">
                    <c:v>S027</c:v>
                  </c:pt>
                  <c:pt idx="27">
                    <c:v>S028</c:v>
                  </c:pt>
                  <c:pt idx="28">
                    <c:v>S029</c:v>
                  </c:pt>
                  <c:pt idx="29">
                    <c:v>S030</c:v>
                  </c:pt>
                  <c:pt idx="30">
                    <c:v>S031</c:v>
                  </c:pt>
                  <c:pt idx="31">
                    <c:v>S032</c:v>
                  </c:pt>
                  <c:pt idx="32">
                    <c:v>S033</c:v>
                  </c:pt>
                  <c:pt idx="33">
                    <c:v>S034</c:v>
                  </c:pt>
                  <c:pt idx="34">
                    <c:v>S035</c:v>
                  </c:pt>
                  <c:pt idx="35">
                    <c:v>S036</c:v>
                  </c:pt>
                  <c:pt idx="36">
                    <c:v>S037</c:v>
                  </c:pt>
                  <c:pt idx="37">
                    <c:v>S038</c:v>
                  </c:pt>
                  <c:pt idx="38">
                    <c:v>S039</c:v>
                  </c:pt>
                  <c:pt idx="39">
                    <c:v>S040</c:v>
                  </c:pt>
                  <c:pt idx="40">
                    <c:v>S041</c:v>
                  </c:pt>
                  <c:pt idx="41">
                    <c:v>S042</c:v>
                  </c:pt>
                  <c:pt idx="42">
                    <c:v>S043</c:v>
                  </c:pt>
                  <c:pt idx="43">
                    <c:v>S044</c:v>
                  </c:pt>
                  <c:pt idx="44">
                    <c:v>S045</c:v>
                  </c:pt>
                  <c:pt idx="45">
                    <c:v>S046</c:v>
                  </c:pt>
                  <c:pt idx="46">
                    <c:v>S047</c:v>
                  </c:pt>
                  <c:pt idx="47">
                    <c:v>S048</c:v>
                  </c:pt>
                  <c:pt idx="48">
                    <c:v>S049</c:v>
                  </c:pt>
                  <c:pt idx="49">
                    <c:v>S050</c:v>
                  </c:pt>
                  <c:pt idx="50">
                    <c:v>S051</c:v>
                  </c:pt>
                  <c:pt idx="51">
                    <c:v>S052</c:v>
                  </c:pt>
                  <c:pt idx="52">
                    <c:v>S053</c:v>
                  </c:pt>
                  <c:pt idx="53">
                    <c:v>S054</c:v>
                  </c:pt>
                  <c:pt idx="54">
                    <c:v>S055</c:v>
                  </c:pt>
                  <c:pt idx="55">
                    <c:v>S056</c:v>
                  </c:pt>
                  <c:pt idx="56">
                    <c:v>S057</c:v>
                  </c:pt>
                  <c:pt idx="57">
                    <c:v>S058</c:v>
                  </c:pt>
                  <c:pt idx="58">
                    <c:v>S059</c:v>
                  </c:pt>
                  <c:pt idx="59">
                    <c:v>S060</c:v>
                  </c:pt>
                  <c:pt idx="60">
                    <c:v>S061</c:v>
                  </c:pt>
                  <c:pt idx="61">
                    <c:v>S062</c:v>
                  </c:pt>
                  <c:pt idx="62">
                    <c:v>S063</c:v>
                  </c:pt>
                  <c:pt idx="63">
                    <c:v>S064</c:v>
                  </c:pt>
                  <c:pt idx="64">
                    <c:v>S065</c:v>
                  </c:pt>
                  <c:pt idx="65">
                    <c:v>S066</c:v>
                  </c:pt>
                  <c:pt idx="66">
                    <c:v>S067</c:v>
                  </c:pt>
                  <c:pt idx="67">
                    <c:v>S068</c:v>
                  </c:pt>
                  <c:pt idx="68">
                    <c:v>S069</c:v>
                  </c:pt>
                  <c:pt idx="69">
                    <c:v>S070</c:v>
                  </c:pt>
                  <c:pt idx="70">
                    <c:v>S071</c:v>
                  </c:pt>
                  <c:pt idx="71">
                    <c:v>S072</c:v>
                  </c:pt>
                  <c:pt idx="72">
                    <c:v>S073</c:v>
                  </c:pt>
                  <c:pt idx="73">
                    <c:v>S074</c:v>
                  </c:pt>
                  <c:pt idx="74">
                    <c:v>S075</c:v>
                  </c:pt>
                  <c:pt idx="75">
                    <c:v>S076</c:v>
                  </c:pt>
                  <c:pt idx="76">
                    <c:v>S077</c:v>
                  </c:pt>
                  <c:pt idx="77">
                    <c:v>S078</c:v>
                  </c:pt>
                  <c:pt idx="78">
                    <c:v>S079</c:v>
                  </c:pt>
                  <c:pt idx="79">
                    <c:v>S080</c:v>
                  </c:pt>
                  <c:pt idx="80">
                    <c:v>S081</c:v>
                  </c:pt>
                  <c:pt idx="81">
                    <c:v>S082</c:v>
                  </c:pt>
                  <c:pt idx="82">
                    <c:v>S083</c:v>
                  </c:pt>
                  <c:pt idx="83">
                    <c:v>S084</c:v>
                  </c:pt>
                  <c:pt idx="84">
                    <c:v>S085</c:v>
                  </c:pt>
                  <c:pt idx="85">
                    <c:v>S086</c:v>
                  </c:pt>
                  <c:pt idx="86">
                    <c:v>S087</c:v>
                  </c:pt>
                  <c:pt idx="87">
                    <c:v>S088</c:v>
                  </c:pt>
                  <c:pt idx="88">
                    <c:v>S089</c:v>
                  </c:pt>
                  <c:pt idx="89">
                    <c:v>S090</c:v>
                  </c:pt>
                  <c:pt idx="90">
                    <c:v>S091</c:v>
                  </c:pt>
                  <c:pt idx="91">
                    <c:v>S092</c:v>
                  </c:pt>
                  <c:pt idx="92">
                    <c:v>S093</c:v>
                  </c:pt>
                  <c:pt idx="93">
                    <c:v>S094</c:v>
                  </c:pt>
                  <c:pt idx="94">
                    <c:v>S095</c:v>
                  </c:pt>
                  <c:pt idx="95">
                    <c:v>S096</c:v>
                  </c:pt>
                  <c:pt idx="96">
                    <c:v>S097</c:v>
                  </c:pt>
                  <c:pt idx="97">
                    <c:v>S098</c:v>
                  </c:pt>
                  <c:pt idx="98">
                    <c:v>S099</c:v>
                  </c:pt>
                  <c:pt idx="99">
                    <c:v>S100</c:v>
                  </c:pt>
                  <c:pt idx="100">
                    <c:v>S101</c:v>
                  </c:pt>
                  <c:pt idx="101">
                    <c:v>S102</c:v>
                  </c:pt>
                  <c:pt idx="102">
                    <c:v>S103</c:v>
                  </c:pt>
                  <c:pt idx="103">
                    <c:v>S104</c:v>
                  </c:pt>
                  <c:pt idx="104">
                    <c:v>S105</c:v>
                  </c:pt>
                  <c:pt idx="105">
                    <c:v>S106</c:v>
                  </c:pt>
                  <c:pt idx="106">
                    <c:v>S107</c:v>
                  </c:pt>
                  <c:pt idx="107">
                    <c:v>S108</c:v>
                  </c:pt>
                  <c:pt idx="108">
                    <c:v>S109</c:v>
                  </c:pt>
                  <c:pt idx="109">
                    <c:v>S110</c:v>
                  </c:pt>
                  <c:pt idx="110">
                    <c:v>S111</c:v>
                  </c:pt>
                  <c:pt idx="111">
                    <c:v>S112</c:v>
                  </c:pt>
                  <c:pt idx="112">
                    <c:v>S113</c:v>
                  </c:pt>
                  <c:pt idx="113">
                    <c:v>S114</c:v>
                  </c:pt>
                  <c:pt idx="114">
                    <c:v>S115</c:v>
                  </c:pt>
                  <c:pt idx="115">
                    <c:v>S116</c:v>
                  </c:pt>
                  <c:pt idx="116">
                    <c:v>S117</c:v>
                  </c:pt>
                  <c:pt idx="117">
                    <c:v>S118</c:v>
                  </c:pt>
                  <c:pt idx="118">
                    <c:v>S119</c:v>
                  </c:pt>
                  <c:pt idx="119">
                    <c:v>S120</c:v>
                  </c:pt>
                  <c:pt idx="120">
                    <c:v>S121</c:v>
                  </c:pt>
                  <c:pt idx="121">
                    <c:v>S122</c:v>
                  </c:pt>
                  <c:pt idx="122">
                    <c:v>S123</c:v>
                  </c:pt>
                  <c:pt idx="123">
                    <c:v>S124</c:v>
                  </c:pt>
                  <c:pt idx="124">
                    <c:v>S125</c:v>
                  </c:pt>
                  <c:pt idx="125">
                    <c:v>S126</c:v>
                  </c:pt>
                  <c:pt idx="126">
                    <c:v>S127</c:v>
                  </c:pt>
                  <c:pt idx="127">
                    <c:v>S128</c:v>
                  </c:pt>
                  <c:pt idx="128">
                    <c:v>S129</c:v>
                  </c:pt>
                  <c:pt idx="129">
                    <c:v>S130</c:v>
                  </c:pt>
                </c:lvl>
              </c:multiLvlStrCache>
            </c:multiLvlStrRef>
          </c:cat>
          <c:val>
            <c:numRef>
              <c:f>'Sheet 2'!$C$3:$C$653</c:f>
              <c:numCache>
                <c:formatCode>General</c:formatCode>
                <c:ptCount val="130"/>
                <c:pt idx="0">
                  <c:v>75.56153846153849</c:v>
                </c:pt>
                <c:pt idx="1">
                  <c:v>75.459948320413474</c:v>
                </c:pt>
                <c:pt idx="2">
                  <c:v>75.544270833333371</c:v>
                </c:pt>
                <c:pt idx="3">
                  <c:v>75.482939632545978</c:v>
                </c:pt>
                <c:pt idx="4">
                  <c:v>75.460317460317498</c:v>
                </c:pt>
                <c:pt idx="5">
                  <c:v>75.472000000000037</c:v>
                </c:pt>
                <c:pt idx="6">
                  <c:v>75.432795698924764</c:v>
                </c:pt>
                <c:pt idx="7">
                  <c:v>75.531165311653169</c:v>
                </c:pt>
                <c:pt idx="8">
                  <c:v>75.549180327868896</c:v>
                </c:pt>
                <c:pt idx="9">
                  <c:v>75.567493112947702</c:v>
                </c:pt>
                <c:pt idx="10">
                  <c:v>75.544444444444466</c:v>
                </c:pt>
                <c:pt idx="11">
                  <c:v>75.375350140056057</c:v>
                </c:pt>
                <c:pt idx="12">
                  <c:v>75.361581920903987</c:v>
                </c:pt>
                <c:pt idx="13">
                  <c:v>75.404558404558443</c:v>
                </c:pt>
                <c:pt idx="14">
                  <c:v>75.508620689655203</c:v>
                </c:pt>
                <c:pt idx="15">
                  <c:v>75.463768115942045</c:v>
                </c:pt>
                <c:pt idx="16">
                  <c:v>75.538011695906448</c:v>
                </c:pt>
                <c:pt idx="17">
                  <c:v>75.519174041297958</c:v>
                </c:pt>
                <c:pt idx="18">
                  <c:v>75.60714285714289</c:v>
                </c:pt>
                <c:pt idx="19">
                  <c:v>75.666666666666686</c:v>
                </c:pt>
                <c:pt idx="20">
                  <c:v>75.745454545454564</c:v>
                </c:pt>
                <c:pt idx="21">
                  <c:v>75.672782874617752</c:v>
                </c:pt>
                <c:pt idx="22">
                  <c:v>75.604938271604951</c:v>
                </c:pt>
                <c:pt idx="23">
                  <c:v>75.713395638629294</c:v>
                </c:pt>
                <c:pt idx="24">
                  <c:v>75.817610062893095</c:v>
                </c:pt>
                <c:pt idx="25">
                  <c:v>75.75238095238096</c:v>
                </c:pt>
                <c:pt idx="26">
                  <c:v>75.804487179487197</c:v>
                </c:pt>
                <c:pt idx="27">
                  <c:v>75.699029126213617</c:v>
                </c:pt>
                <c:pt idx="28">
                  <c:v>75.699346405228766</c:v>
                </c:pt>
                <c:pt idx="29">
                  <c:v>75.75907590759077</c:v>
                </c:pt>
                <c:pt idx="30">
                  <c:v>75.746666666666684</c:v>
                </c:pt>
                <c:pt idx="31">
                  <c:v>75.71380471380472</c:v>
                </c:pt>
                <c:pt idx="32">
                  <c:v>75.656462585034021</c:v>
                </c:pt>
                <c:pt idx="33">
                  <c:v>75.673539518900355</c:v>
                </c:pt>
                <c:pt idx="34">
                  <c:v>75.7013888888889</c:v>
                </c:pt>
                <c:pt idx="35">
                  <c:v>75.740350877192995</c:v>
                </c:pt>
                <c:pt idx="36">
                  <c:v>75.691489361702125</c:v>
                </c:pt>
                <c:pt idx="37">
                  <c:v>75.648745519713259</c:v>
                </c:pt>
                <c:pt idx="38">
                  <c:v>75.65217391304347</c:v>
                </c:pt>
                <c:pt idx="39">
                  <c:v>75.622710622710628</c:v>
                </c:pt>
                <c:pt idx="40">
                  <c:v>75.637037037037032</c:v>
                </c:pt>
                <c:pt idx="41">
                  <c:v>75.677902621722836</c:v>
                </c:pt>
                <c:pt idx="42">
                  <c:v>75.731060606060609</c:v>
                </c:pt>
                <c:pt idx="43">
                  <c:v>75.743295019157088</c:v>
                </c:pt>
                <c:pt idx="44">
                  <c:v>75.833333333333314</c:v>
                </c:pt>
                <c:pt idx="45">
                  <c:v>75.88235294117645</c:v>
                </c:pt>
                <c:pt idx="46">
                  <c:v>75.968253968253947</c:v>
                </c:pt>
                <c:pt idx="47">
                  <c:v>75.891566265060234</c:v>
                </c:pt>
                <c:pt idx="48">
                  <c:v>75.760162601626007</c:v>
                </c:pt>
                <c:pt idx="49">
                  <c:v>75.514403292181058</c:v>
                </c:pt>
                <c:pt idx="50">
                  <c:v>75.504166666666649</c:v>
                </c:pt>
                <c:pt idx="51">
                  <c:v>75.506329113924025</c:v>
                </c:pt>
                <c:pt idx="52">
                  <c:v>75.53418803418802</c:v>
                </c:pt>
                <c:pt idx="53">
                  <c:v>75.497835497835482</c:v>
                </c:pt>
                <c:pt idx="54">
                  <c:v>75.403508771929808</c:v>
                </c:pt>
                <c:pt idx="55">
                  <c:v>75.386666666666642</c:v>
                </c:pt>
                <c:pt idx="56">
                  <c:v>75.454954954954928</c:v>
                </c:pt>
                <c:pt idx="57">
                  <c:v>75.465753424657507</c:v>
                </c:pt>
                <c:pt idx="58">
                  <c:v>75.499999999999972</c:v>
                </c:pt>
                <c:pt idx="59">
                  <c:v>75.389671361502309</c:v>
                </c:pt>
                <c:pt idx="60">
                  <c:v>75.309523809523782</c:v>
                </c:pt>
                <c:pt idx="61">
                  <c:v>75.256038647342962</c:v>
                </c:pt>
                <c:pt idx="62">
                  <c:v>75.328431372548991</c:v>
                </c:pt>
                <c:pt idx="63">
                  <c:v>75.273631840796</c:v>
                </c:pt>
                <c:pt idx="64">
                  <c:v>75.328282828282823</c:v>
                </c:pt>
                <c:pt idx="65">
                  <c:v>75.220512820512795</c:v>
                </c:pt>
                <c:pt idx="66">
                  <c:v>75.296874999999986</c:v>
                </c:pt>
                <c:pt idx="67">
                  <c:v>75.412698412698404</c:v>
                </c:pt>
                <c:pt idx="68">
                  <c:v>75.397849462365585</c:v>
                </c:pt>
                <c:pt idx="69">
                  <c:v>75.224043715846989</c:v>
                </c:pt>
                <c:pt idx="70">
                  <c:v>75.072222222222223</c:v>
                </c:pt>
                <c:pt idx="71">
                  <c:v>75.146892655367239</c:v>
                </c:pt>
                <c:pt idx="72">
                  <c:v>75.189655172413794</c:v>
                </c:pt>
                <c:pt idx="73">
                  <c:v>75.076023391812853</c:v>
                </c:pt>
                <c:pt idx="74">
                  <c:v>74.910714285714306</c:v>
                </c:pt>
                <c:pt idx="75">
                  <c:v>75.042424242424246</c:v>
                </c:pt>
                <c:pt idx="76">
                  <c:v>75.191358024691354</c:v>
                </c:pt>
                <c:pt idx="77">
                  <c:v>75.578616352201266</c:v>
                </c:pt>
                <c:pt idx="78">
                  <c:v>75.65384615384616</c:v>
                </c:pt>
                <c:pt idx="79">
                  <c:v>75.562091503267993</c:v>
                </c:pt>
                <c:pt idx="80">
                  <c:v>75.826666666666682</c:v>
                </c:pt>
                <c:pt idx="81">
                  <c:v>75.863945578231309</c:v>
                </c:pt>
                <c:pt idx="82">
                  <c:v>76.222222222222229</c:v>
                </c:pt>
                <c:pt idx="83">
                  <c:v>76.198581560283699</c:v>
                </c:pt>
                <c:pt idx="84">
                  <c:v>76.188405797101467</c:v>
                </c:pt>
                <c:pt idx="85">
                  <c:v>76.148148148148167</c:v>
                </c:pt>
                <c:pt idx="86">
                  <c:v>75.931818181818215</c:v>
                </c:pt>
                <c:pt idx="87">
                  <c:v>75.99224806201552</c:v>
                </c:pt>
                <c:pt idx="88">
                  <c:v>75.7777777777778</c:v>
                </c:pt>
                <c:pt idx="89">
                  <c:v>75.699186991869936</c:v>
                </c:pt>
                <c:pt idx="90">
                  <c:v>75.550000000000011</c:v>
                </c:pt>
                <c:pt idx="91">
                  <c:v>75.521367521367537</c:v>
                </c:pt>
                <c:pt idx="92">
                  <c:v>75.675438596491233</c:v>
                </c:pt>
                <c:pt idx="93">
                  <c:v>76.018018018018026</c:v>
                </c:pt>
                <c:pt idx="94">
                  <c:v>76.370370370370381</c:v>
                </c:pt>
                <c:pt idx="95">
                  <c:v>76.095238095238102</c:v>
                </c:pt>
                <c:pt idx="96">
                  <c:v>75.833333333333329</c:v>
                </c:pt>
                <c:pt idx="97">
                  <c:v>75.535353535353536</c:v>
                </c:pt>
                <c:pt idx="98">
                  <c:v>75.999999999999986</c:v>
                </c:pt>
                <c:pt idx="99">
                  <c:v>76.032258064516114</c:v>
                </c:pt>
                <c:pt idx="100">
                  <c:v>75.933333333333323</c:v>
                </c:pt>
                <c:pt idx="101">
                  <c:v>75.908045977011469</c:v>
                </c:pt>
                <c:pt idx="102">
                  <c:v>75.607142857142847</c:v>
                </c:pt>
                <c:pt idx="103">
                  <c:v>75.419753086419746</c:v>
                </c:pt>
                <c:pt idx="104">
                  <c:v>75.089743589743577</c:v>
                </c:pt>
                <c:pt idx="105">
                  <c:v>74.946666666666658</c:v>
                </c:pt>
                <c:pt idx="106">
                  <c:v>75.125</c:v>
                </c:pt>
                <c:pt idx="107">
                  <c:v>75.159420289855063</c:v>
                </c:pt>
                <c:pt idx="108">
                  <c:v>75.166666666666657</c:v>
                </c:pt>
                <c:pt idx="109">
                  <c:v>75.460317460317455</c:v>
                </c:pt>
                <c:pt idx="110">
                  <c:v>75.25</c:v>
                </c:pt>
                <c:pt idx="111">
                  <c:v>75.543859649122808</c:v>
                </c:pt>
                <c:pt idx="112">
                  <c:v>75.796296296296291</c:v>
                </c:pt>
                <c:pt idx="113">
                  <c:v>76.098039215686285</c:v>
                </c:pt>
                <c:pt idx="114">
                  <c:v>75.229166666666671</c:v>
                </c:pt>
                <c:pt idx="115">
                  <c:v>74.488888888888894</c:v>
                </c:pt>
                <c:pt idx="116">
                  <c:v>73.952380952380949</c:v>
                </c:pt>
                <c:pt idx="117">
                  <c:v>74.84615384615384</c:v>
                </c:pt>
                <c:pt idx="118">
                  <c:v>75.638888888888886</c:v>
                </c:pt>
                <c:pt idx="119">
                  <c:v>75.060606060606062</c:v>
                </c:pt>
                <c:pt idx="120">
                  <c:v>74.599999999999994</c:v>
                </c:pt>
                <c:pt idx="121">
                  <c:v>75.074074074074076</c:v>
                </c:pt>
                <c:pt idx="122">
                  <c:v>74.083333333333314</c:v>
                </c:pt>
                <c:pt idx="123">
                  <c:v>75.761904761904745</c:v>
                </c:pt>
                <c:pt idx="124">
                  <c:v>75.833333333333343</c:v>
                </c:pt>
                <c:pt idx="125">
                  <c:v>77.466666666666669</c:v>
                </c:pt>
                <c:pt idx="126">
                  <c:v>77.5</c:v>
                </c:pt>
                <c:pt idx="127">
                  <c:v>77.444444444444457</c:v>
                </c:pt>
                <c:pt idx="128">
                  <c:v>77</c:v>
                </c:pt>
                <c:pt idx="129">
                  <c:v>82.666666666666671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2-4BDD-8859-FBB6DC821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[a39dde1d6c1e40064042.xlsx]Sheet 2!PivotTable7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2'!$F$2</c:f>
              <c:strCache>
                <c:ptCount val="1"/>
                <c:pt idx="0">
                  <c:v>Sum of Maths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2'!$E$3:$E$133</c:f>
              <c:strCache>
                <c:ptCount val="1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  <c:pt idx="50">
                  <c:v>S051</c:v>
                </c:pt>
                <c:pt idx="51">
                  <c:v>S052</c:v>
                </c:pt>
                <c:pt idx="52">
                  <c:v>S053</c:v>
                </c:pt>
                <c:pt idx="53">
                  <c:v>S054</c:v>
                </c:pt>
                <c:pt idx="54">
                  <c:v>S055</c:v>
                </c:pt>
                <c:pt idx="55">
                  <c:v>S056</c:v>
                </c:pt>
                <c:pt idx="56">
                  <c:v>S057</c:v>
                </c:pt>
                <c:pt idx="57">
                  <c:v>S058</c:v>
                </c:pt>
                <c:pt idx="58">
                  <c:v>S059</c:v>
                </c:pt>
                <c:pt idx="59">
                  <c:v>S060</c:v>
                </c:pt>
                <c:pt idx="60">
                  <c:v>S061</c:v>
                </c:pt>
                <c:pt idx="61">
                  <c:v>S062</c:v>
                </c:pt>
                <c:pt idx="62">
                  <c:v>S063</c:v>
                </c:pt>
                <c:pt idx="63">
                  <c:v>S064</c:v>
                </c:pt>
                <c:pt idx="64">
                  <c:v>S065</c:v>
                </c:pt>
                <c:pt idx="65">
                  <c:v>S066</c:v>
                </c:pt>
                <c:pt idx="66">
                  <c:v>S067</c:v>
                </c:pt>
                <c:pt idx="67">
                  <c:v>S068</c:v>
                </c:pt>
                <c:pt idx="68">
                  <c:v>S069</c:v>
                </c:pt>
                <c:pt idx="69">
                  <c:v>S070</c:v>
                </c:pt>
                <c:pt idx="70">
                  <c:v>S071</c:v>
                </c:pt>
                <c:pt idx="71">
                  <c:v>S072</c:v>
                </c:pt>
                <c:pt idx="72">
                  <c:v>S073</c:v>
                </c:pt>
                <c:pt idx="73">
                  <c:v>S074</c:v>
                </c:pt>
                <c:pt idx="74">
                  <c:v>S075</c:v>
                </c:pt>
                <c:pt idx="75">
                  <c:v>S076</c:v>
                </c:pt>
                <c:pt idx="76">
                  <c:v>S077</c:v>
                </c:pt>
                <c:pt idx="77">
                  <c:v>S078</c:v>
                </c:pt>
                <c:pt idx="78">
                  <c:v>S079</c:v>
                </c:pt>
                <c:pt idx="79">
                  <c:v>S080</c:v>
                </c:pt>
                <c:pt idx="80">
                  <c:v>S081</c:v>
                </c:pt>
                <c:pt idx="81">
                  <c:v>S082</c:v>
                </c:pt>
                <c:pt idx="82">
                  <c:v>S083</c:v>
                </c:pt>
                <c:pt idx="83">
                  <c:v>S084</c:v>
                </c:pt>
                <c:pt idx="84">
                  <c:v>S085</c:v>
                </c:pt>
                <c:pt idx="85">
                  <c:v>S086</c:v>
                </c:pt>
                <c:pt idx="86">
                  <c:v>S087</c:v>
                </c:pt>
                <c:pt idx="87">
                  <c:v>S088</c:v>
                </c:pt>
                <c:pt idx="88">
                  <c:v>S089</c:v>
                </c:pt>
                <c:pt idx="89">
                  <c:v>S090</c:v>
                </c:pt>
                <c:pt idx="90">
                  <c:v>S091</c:v>
                </c:pt>
                <c:pt idx="91">
                  <c:v>S092</c:v>
                </c:pt>
                <c:pt idx="92">
                  <c:v>S093</c:v>
                </c:pt>
                <c:pt idx="93">
                  <c:v>S094</c:v>
                </c:pt>
                <c:pt idx="94">
                  <c:v>S095</c:v>
                </c:pt>
                <c:pt idx="95">
                  <c:v>S096</c:v>
                </c:pt>
                <c:pt idx="96">
                  <c:v>S097</c:v>
                </c:pt>
                <c:pt idx="97">
                  <c:v>S098</c:v>
                </c:pt>
                <c:pt idx="98">
                  <c:v>S099</c:v>
                </c:pt>
                <c:pt idx="99">
                  <c:v>S100</c:v>
                </c:pt>
                <c:pt idx="100">
                  <c:v>S101</c:v>
                </c:pt>
                <c:pt idx="101">
                  <c:v>S102</c:v>
                </c:pt>
                <c:pt idx="102">
                  <c:v>S103</c:v>
                </c:pt>
                <c:pt idx="103">
                  <c:v>S104</c:v>
                </c:pt>
                <c:pt idx="104">
                  <c:v>S105</c:v>
                </c:pt>
                <c:pt idx="105">
                  <c:v>S106</c:v>
                </c:pt>
                <c:pt idx="106">
                  <c:v>S107</c:v>
                </c:pt>
                <c:pt idx="107">
                  <c:v>S108</c:v>
                </c:pt>
                <c:pt idx="108">
                  <c:v>S109</c:v>
                </c:pt>
                <c:pt idx="109">
                  <c:v>S110</c:v>
                </c:pt>
                <c:pt idx="110">
                  <c:v>S111</c:v>
                </c:pt>
                <c:pt idx="111">
                  <c:v>S112</c:v>
                </c:pt>
                <c:pt idx="112">
                  <c:v>S113</c:v>
                </c:pt>
                <c:pt idx="113">
                  <c:v>S114</c:v>
                </c:pt>
                <c:pt idx="114">
                  <c:v>S115</c:v>
                </c:pt>
                <c:pt idx="115">
                  <c:v>S116</c:v>
                </c:pt>
                <c:pt idx="116">
                  <c:v>S117</c:v>
                </c:pt>
                <c:pt idx="117">
                  <c:v>S118</c:v>
                </c:pt>
                <c:pt idx="118">
                  <c:v>S119</c:v>
                </c:pt>
                <c:pt idx="119">
                  <c:v>S120</c:v>
                </c:pt>
                <c:pt idx="120">
                  <c:v>S121</c:v>
                </c:pt>
                <c:pt idx="121">
                  <c:v>S122</c:v>
                </c:pt>
                <c:pt idx="122">
                  <c:v>S123</c:v>
                </c:pt>
                <c:pt idx="123">
                  <c:v>S124</c:v>
                </c:pt>
                <c:pt idx="124">
                  <c:v>S125</c:v>
                </c:pt>
                <c:pt idx="125">
                  <c:v>S126</c:v>
                </c:pt>
                <c:pt idx="126">
                  <c:v>S127</c:v>
                </c:pt>
                <c:pt idx="127">
                  <c:v>S128</c:v>
                </c:pt>
                <c:pt idx="128">
                  <c:v>S129</c:v>
                </c:pt>
                <c:pt idx="129">
                  <c:v>S130</c:v>
                </c:pt>
              </c:strCache>
            </c:strRef>
          </c:cat>
          <c:val>
            <c:numRef>
              <c:f>'Sheet 2'!$F$3:$F$133</c:f>
              <c:numCache>
                <c:formatCode>General</c:formatCode>
                <c:ptCount val="130"/>
                <c:pt idx="0">
                  <c:v>77</c:v>
                </c:pt>
                <c:pt idx="1">
                  <c:v>57</c:v>
                </c:pt>
                <c:pt idx="2">
                  <c:v>98</c:v>
                </c:pt>
                <c:pt idx="3">
                  <c:v>88</c:v>
                </c:pt>
                <c:pt idx="4">
                  <c:v>69</c:v>
                </c:pt>
                <c:pt idx="5">
                  <c:v>73</c:v>
                </c:pt>
                <c:pt idx="6">
                  <c:v>32</c:v>
                </c:pt>
                <c:pt idx="7">
                  <c:v>58</c:v>
                </c:pt>
                <c:pt idx="8">
                  <c:v>46</c:v>
                </c:pt>
                <c:pt idx="9">
                  <c:v>80</c:v>
                </c:pt>
                <c:pt idx="10">
                  <c:v>99</c:v>
                </c:pt>
                <c:pt idx="11">
                  <c:v>68</c:v>
                </c:pt>
                <c:pt idx="12">
                  <c:v>73</c:v>
                </c:pt>
                <c:pt idx="13">
                  <c:v>52</c:v>
                </c:pt>
                <c:pt idx="14">
                  <c:v>69</c:v>
                </c:pt>
                <c:pt idx="15">
                  <c:v>77</c:v>
                </c:pt>
                <c:pt idx="16">
                  <c:v>88</c:v>
                </c:pt>
                <c:pt idx="17">
                  <c:v>92</c:v>
                </c:pt>
                <c:pt idx="18">
                  <c:v>94</c:v>
                </c:pt>
                <c:pt idx="19">
                  <c:v>60</c:v>
                </c:pt>
                <c:pt idx="20">
                  <c:v>96</c:v>
                </c:pt>
                <c:pt idx="21">
                  <c:v>80</c:v>
                </c:pt>
                <c:pt idx="22">
                  <c:v>79</c:v>
                </c:pt>
                <c:pt idx="23">
                  <c:v>72</c:v>
                </c:pt>
                <c:pt idx="24">
                  <c:v>99</c:v>
                </c:pt>
                <c:pt idx="25">
                  <c:v>66</c:v>
                </c:pt>
                <c:pt idx="26">
                  <c:v>89</c:v>
                </c:pt>
                <c:pt idx="27">
                  <c:v>62</c:v>
                </c:pt>
                <c:pt idx="28">
                  <c:v>56</c:v>
                </c:pt>
                <c:pt idx="29">
                  <c:v>84</c:v>
                </c:pt>
                <c:pt idx="30">
                  <c:v>86</c:v>
                </c:pt>
                <c:pt idx="31">
                  <c:v>91</c:v>
                </c:pt>
                <c:pt idx="32">
                  <c:v>70</c:v>
                </c:pt>
                <c:pt idx="33">
                  <c:v>70</c:v>
                </c:pt>
                <c:pt idx="34">
                  <c:v>80</c:v>
                </c:pt>
                <c:pt idx="35">
                  <c:v>95</c:v>
                </c:pt>
                <c:pt idx="36">
                  <c:v>92</c:v>
                </c:pt>
                <c:pt idx="37">
                  <c:v>83</c:v>
                </c:pt>
                <c:pt idx="38">
                  <c:v>59</c:v>
                </c:pt>
                <c:pt idx="39">
                  <c:v>66</c:v>
                </c:pt>
                <c:pt idx="40">
                  <c:v>74</c:v>
                </c:pt>
                <c:pt idx="41">
                  <c:v>59</c:v>
                </c:pt>
                <c:pt idx="42">
                  <c:v>79</c:v>
                </c:pt>
                <c:pt idx="43">
                  <c:v>66</c:v>
                </c:pt>
                <c:pt idx="44">
                  <c:v>77</c:v>
                </c:pt>
                <c:pt idx="45">
                  <c:v>80</c:v>
                </c:pt>
                <c:pt idx="46">
                  <c:v>73</c:v>
                </c:pt>
                <c:pt idx="47">
                  <c:v>84</c:v>
                </c:pt>
                <c:pt idx="48">
                  <c:v>97</c:v>
                </c:pt>
                <c:pt idx="49">
                  <c:v>91</c:v>
                </c:pt>
                <c:pt idx="50">
                  <c:v>83</c:v>
                </c:pt>
                <c:pt idx="51">
                  <c:v>88</c:v>
                </c:pt>
                <c:pt idx="52">
                  <c:v>71</c:v>
                </c:pt>
                <c:pt idx="53">
                  <c:v>79</c:v>
                </c:pt>
                <c:pt idx="54">
                  <c:v>59</c:v>
                </c:pt>
                <c:pt idx="55">
                  <c:v>60</c:v>
                </c:pt>
                <c:pt idx="56">
                  <c:v>64</c:v>
                </c:pt>
                <c:pt idx="57">
                  <c:v>85</c:v>
                </c:pt>
                <c:pt idx="58">
                  <c:v>88</c:v>
                </c:pt>
                <c:pt idx="59">
                  <c:v>89</c:v>
                </c:pt>
                <c:pt idx="60">
                  <c:v>99</c:v>
                </c:pt>
                <c:pt idx="61">
                  <c:v>60</c:v>
                </c:pt>
                <c:pt idx="62">
                  <c:v>72</c:v>
                </c:pt>
                <c:pt idx="63">
                  <c:v>58</c:v>
                </c:pt>
                <c:pt idx="64">
                  <c:v>88</c:v>
                </c:pt>
                <c:pt idx="65">
                  <c:v>79</c:v>
                </c:pt>
                <c:pt idx="66">
                  <c:v>68</c:v>
                </c:pt>
                <c:pt idx="67">
                  <c:v>50</c:v>
                </c:pt>
                <c:pt idx="68">
                  <c:v>80</c:v>
                </c:pt>
                <c:pt idx="69">
                  <c:v>79</c:v>
                </c:pt>
                <c:pt idx="70">
                  <c:v>83</c:v>
                </c:pt>
                <c:pt idx="71">
                  <c:v>82</c:v>
                </c:pt>
                <c:pt idx="72">
                  <c:v>91</c:v>
                </c:pt>
                <c:pt idx="73">
                  <c:v>85</c:v>
                </c:pt>
                <c:pt idx="74">
                  <c:v>79</c:v>
                </c:pt>
                <c:pt idx="75">
                  <c:v>60</c:v>
                </c:pt>
                <c:pt idx="76">
                  <c:v>59</c:v>
                </c:pt>
                <c:pt idx="77">
                  <c:v>69</c:v>
                </c:pt>
                <c:pt idx="78">
                  <c:v>68</c:v>
                </c:pt>
                <c:pt idx="79">
                  <c:v>60</c:v>
                </c:pt>
                <c:pt idx="80">
                  <c:v>70</c:v>
                </c:pt>
                <c:pt idx="81">
                  <c:v>58</c:v>
                </c:pt>
                <c:pt idx="82">
                  <c:v>72</c:v>
                </c:pt>
                <c:pt idx="83">
                  <c:v>91</c:v>
                </c:pt>
                <c:pt idx="84">
                  <c:v>95</c:v>
                </c:pt>
                <c:pt idx="85">
                  <c:v>99</c:v>
                </c:pt>
                <c:pt idx="86">
                  <c:v>64</c:v>
                </c:pt>
                <c:pt idx="87">
                  <c:v>85</c:v>
                </c:pt>
                <c:pt idx="88">
                  <c:v>88</c:v>
                </c:pt>
                <c:pt idx="89">
                  <c:v>89</c:v>
                </c:pt>
                <c:pt idx="90">
                  <c:v>99</c:v>
                </c:pt>
                <c:pt idx="91">
                  <c:v>60</c:v>
                </c:pt>
                <c:pt idx="92">
                  <c:v>72</c:v>
                </c:pt>
                <c:pt idx="93">
                  <c:v>58</c:v>
                </c:pt>
                <c:pt idx="94">
                  <c:v>88</c:v>
                </c:pt>
                <c:pt idx="95">
                  <c:v>79</c:v>
                </c:pt>
                <c:pt idx="96">
                  <c:v>68</c:v>
                </c:pt>
                <c:pt idx="97">
                  <c:v>50</c:v>
                </c:pt>
                <c:pt idx="98">
                  <c:v>80</c:v>
                </c:pt>
                <c:pt idx="99">
                  <c:v>79</c:v>
                </c:pt>
                <c:pt idx="100">
                  <c:v>83</c:v>
                </c:pt>
                <c:pt idx="101">
                  <c:v>82</c:v>
                </c:pt>
                <c:pt idx="102">
                  <c:v>91</c:v>
                </c:pt>
                <c:pt idx="103">
                  <c:v>85</c:v>
                </c:pt>
                <c:pt idx="104">
                  <c:v>79</c:v>
                </c:pt>
                <c:pt idx="105">
                  <c:v>60</c:v>
                </c:pt>
                <c:pt idx="106">
                  <c:v>59</c:v>
                </c:pt>
                <c:pt idx="107">
                  <c:v>69</c:v>
                </c:pt>
                <c:pt idx="108">
                  <c:v>68</c:v>
                </c:pt>
                <c:pt idx="109">
                  <c:v>60</c:v>
                </c:pt>
                <c:pt idx="110">
                  <c:v>70</c:v>
                </c:pt>
                <c:pt idx="111">
                  <c:v>58</c:v>
                </c:pt>
                <c:pt idx="112">
                  <c:v>72</c:v>
                </c:pt>
                <c:pt idx="113">
                  <c:v>91</c:v>
                </c:pt>
                <c:pt idx="114">
                  <c:v>95</c:v>
                </c:pt>
                <c:pt idx="115">
                  <c:v>99</c:v>
                </c:pt>
                <c:pt idx="116">
                  <c:v>77</c:v>
                </c:pt>
                <c:pt idx="117">
                  <c:v>57</c:v>
                </c:pt>
                <c:pt idx="118">
                  <c:v>98</c:v>
                </c:pt>
                <c:pt idx="119">
                  <c:v>88</c:v>
                </c:pt>
                <c:pt idx="120">
                  <c:v>69</c:v>
                </c:pt>
                <c:pt idx="121">
                  <c:v>73</c:v>
                </c:pt>
                <c:pt idx="122">
                  <c:v>32</c:v>
                </c:pt>
                <c:pt idx="123">
                  <c:v>58</c:v>
                </c:pt>
                <c:pt idx="124">
                  <c:v>46</c:v>
                </c:pt>
                <c:pt idx="125">
                  <c:v>80</c:v>
                </c:pt>
                <c:pt idx="126">
                  <c:v>99</c:v>
                </c:pt>
                <c:pt idx="127">
                  <c:v>68</c:v>
                </c:pt>
                <c:pt idx="128">
                  <c:v>73</c:v>
                </c:pt>
                <c:pt idx="12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D-410F-BF3D-D18F996D0A19}"/>
            </c:ext>
          </c:extLst>
        </c:ser>
        <c:ser>
          <c:idx val="1"/>
          <c:order val="1"/>
          <c:tx>
            <c:strRef>
              <c:f>'Sheet 2'!$G$2</c:f>
              <c:strCache>
                <c:ptCount val="1"/>
                <c:pt idx="0">
                  <c:v>Sum of English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2'!$E$3:$E$133</c:f>
              <c:strCache>
                <c:ptCount val="1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  <c:pt idx="50">
                  <c:v>S051</c:v>
                </c:pt>
                <c:pt idx="51">
                  <c:v>S052</c:v>
                </c:pt>
                <c:pt idx="52">
                  <c:v>S053</c:v>
                </c:pt>
                <c:pt idx="53">
                  <c:v>S054</c:v>
                </c:pt>
                <c:pt idx="54">
                  <c:v>S055</c:v>
                </c:pt>
                <c:pt idx="55">
                  <c:v>S056</c:v>
                </c:pt>
                <c:pt idx="56">
                  <c:v>S057</c:v>
                </c:pt>
                <c:pt idx="57">
                  <c:v>S058</c:v>
                </c:pt>
                <c:pt idx="58">
                  <c:v>S059</c:v>
                </c:pt>
                <c:pt idx="59">
                  <c:v>S060</c:v>
                </c:pt>
                <c:pt idx="60">
                  <c:v>S061</c:v>
                </c:pt>
                <c:pt idx="61">
                  <c:v>S062</c:v>
                </c:pt>
                <c:pt idx="62">
                  <c:v>S063</c:v>
                </c:pt>
                <c:pt idx="63">
                  <c:v>S064</c:v>
                </c:pt>
                <c:pt idx="64">
                  <c:v>S065</c:v>
                </c:pt>
                <c:pt idx="65">
                  <c:v>S066</c:v>
                </c:pt>
                <c:pt idx="66">
                  <c:v>S067</c:v>
                </c:pt>
                <c:pt idx="67">
                  <c:v>S068</c:v>
                </c:pt>
                <c:pt idx="68">
                  <c:v>S069</c:v>
                </c:pt>
                <c:pt idx="69">
                  <c:v>S070</c:v>
                </c:pt>
                <c:pt idx="70">
                  <c:v>S071</c:v>
                </c:pt>
                <c:pt idx="71">
                  <c:v>S072</c:v>
                </c:pt>
                <c:pt idx="72">
                  <c:v>S073</c:v>
                </c:pt>
                <c:pt idx="73">
                  <c:v>S074</c:v>
                </c:pt>
                <c:pt idx="74">
                  <c:v>S075</c:v>
                </c:pt>
                <c:pt idx="75">
                  <c:v>S076</c:v>
                </c:pt>
                <c:pt idx="76">
                  <c:v>S077</c:v>
                </c:pt>
                <c:pt idx="77">
                  <c:v>S078</c:v>
                </c:pt>
                <c:pt idx="78">
                  <c:v>S079</c:v>
                </c:pt>
                <c:pt idx="79">
                  <c:v>S080</c:v>
                </c:pt>
                <c:pt idx="80">
                  <c:v>S081</c:v>
                </c:pt>
                <c:pt idx="81">
                  <c:v>S082</c:v>
                </c:pt>
                <c:pt idx="82">
                  <c:v>S083</c:v>
                </c:pt>
                <c:pt idx="83">
                  <c:v>S084</c:v>
                </c:pt>
                <c:pt idx="84">
                  <c:v>S085</c:v>
                </c:pt>
                <c:pt idx="85">
                  <c:v>S086</c:v>
                </c:pt>
                <c:pt idx="86">
                  <c:v>S087</c:v>
                </c:pt>
                <c:pt idx="87">
                  <c:v>S088</c:v>
                </c:pt>
                <c:pt idx="88">
                  <c:v>S089</c:v>
                </c:pt>
                <c:pt idx="89">
                  <c:v>S090</c:v>
                </c:pt>
                <c:pt idx="90">
                  <c:v>S091</c:v>
                </c:pt>
                <c:pt idx="91">
                  <c:v>S092</c:v>
                </c:pt>
                <c:pt idx="92">
                  <c:v>S093</c:v>
                </c:pt>
                <c:pt idx="93">
                  <c:v>S094</c:v>
                </c:pt>
                <c:pt idx="94">
                  <c:v>S095</c:v>
                </c:pt>
                <c:pt idx="95">
                  <c:v>S096</c:v>
                </c:pt>
                <c:pt idx="96">
                  <c:v>S097</c:v>
                </c:pt>
                <c:pt idx="97">
                  <c:v>S098</c:v>
                </c:pt>
                <c:pt idx="98">
                  <c:v>S099</c:v>
                </c:pt>
                <c:pt idx="99">
                  <c:v>S100</c:v>
                </c:pt>
                <c:pt idx="100">
                  <c:v>S101</c:v>
                </c:pt>
                <c:pt idx="101">
                  <c:v>S102</c:v>
                </c:pt>
                <c:pt idx="102">
                  <c:v>S103</c:v>
                </c:pt>
                <c:pt idx="103">
                  <c:v>S104</c:v>
                </c:pt>
                <c:pt idx="104">
                  <c:v>S105</c:v>
                </c:pt>
                <c:pt idx="105">
                  <c:v>S106</c:v>
                </c:pt>
                <c:pt idx="106">
                  <c:v>S107</c:v>
                </c:pt>
                <c:pt idx="107">
                  <c:v>S108</c:v>
                </c:pt>
                <c:pt idx="108">
                  <c:v>S109</c:v>
                </c:pt>
                <c:pt idx="109">
                  <c:v>S110</c:v>
                </c:pt>
                <c:pt idx="110">
                  <c:v>S111</c:v>
                </c:pt>
                <c:pt idx="111">
                  <c:v>S112</c:v>
                </c:pt>
                <c:pt idx="112">
                  <c:v>S113</c:v>
                </c:pt>
                <c:pt idx="113">
                  <c:v>S114</c:v>
                </c:pt>
                <c:pt idx="114">
                  <c:v>S115</c:v>
                </c:pt>
                <c:pt idx="115">
                  <c:v>S116</c:v>
                </c:pt>
                <c:pt idx="116">
                  <c:v>S117</c:v>
                </c:pt>
                <c:pt idx="117">
                  <c:v>S118</c:v>
                </c:pt>
                <c:pt idx="118">
                  <c:v>S119</c:v>
                </c:pt>
                <c:pt idx="119">
                  <c:v>S120</c:v>
                </c:pt>
                <c:pt idx="120">
                  <c:v>S121</c:v>
                </c:pt>
                <c:pt idx="121">
                  <c:v>S122</c:v>
                </c:pt>
                <c:pt idx="122">
                  <c:v>S123</c:v>
                </c:pt>
                <c:pt idx="123">
                  <c:v>S124</c:v>
                </c:pt>
                <c:pt idx="124">
                  <c:v>S125</c:v>
                </c:pt>
                <c:pt idx="125">
                  <c:v>S126</c:v>
                </c:pt>
                <c:pt idx="126">
                  <c:v>S127</c:v>
                </c:pt>
                <c:pt idx="127">
                  <c:v>S128</c:v>
                </c:pt>
                <c:pt idx="128">
                  <c:v>S129</c:v>
                </c:pt>
                <c:pt idx="129">
                  <c:v>S130</c:v>
                </c:pt>
              </c:strCache>
            </c:strRef>
          </c:cat>
          <c:val>
            <c:numRef>
              <c:f>'Sheet 2'!$G$3:$G$133</c:f>
              <c:numCache>
                <c:formatCode>General</c:formatCode>
                <c:ptCount val="130"/>
                <c:pt idx="0">
                  <c:v>99</c:v>
                </c:pt>
                <c:pt idx="1">
                  <c:v>68</c:v>
                </c:pt>
                <c:pt idx="2">
                  <c:v>73</c:v>
                </c:pt>
                <c:pt idx="3">
                  <c:v>79</c:v>
                </c:pt>
                <c:pt idx="4">
                  <c:v>69</c:v>
                </c:pt>
                <c:pt idx="5">
                  <c:v>77</c:v>
                </c:pt>
                <c:pt idx="6">
                  <c:v>88</c:v>
                </c:pt>
                <c:pt idx="7">
                  <c:v>92</c:v>
                </c:pt>
                <c:pt idx="8">
                  <c:v>94</c:v>
                </c:pt>
                <c:pt idx="9">
                  <c:v>60</c:v>
                </c:pt>
                <c:pt idx="10">
                  <c:v>96</c:v>
                </c:pt>
                <c:pt idx="11">
                  <c:v>80</c:v>
                </c:pt>
                <c:pt idx="12">
                  <c:v>79</c:v>
                </c:pt>
                <c:pt idx="13">
                  <c:v>72</c:v>
                </c:pt>
                <c:pt idx="14">
                  <c:v>99</c:v>
                </c:pt>
                <c:pt idx="15">
                  <c:v>66</c:v>
                </c:pt>
                <c:pt idx="16">
                  <c:v>89</c:v>
                </c:pt>
                <c:pt idx="17">
                  <c:v>62</c:v>
                </c:pt>
                <c:pt idx="18">
                  <c:v>56</c:v>
                </c:pt>
                <c:pt idx="19">
                  <c:v>84</c:v>
                </c:pt>
                <c:pt idx="20">
                  <c:v>86</c:v>
                </c:pt>
                <c:pt idx="21">
                  <c:v>91</c:v>
                </c:pt>
                <c:pt idx="22">
                  <c:v>70</c:v>
                </c:pt>
                <c:pt idx="23">
                  <c:v>70</c:v>
                </c:pt>
                <c:pt idx="24">
                  <c:v>80</c:v>
                </c:pt>
                <c:pt idx="25">
                  <c:v>95</c:v>
                </c:pt>
                <c:pt idx="26">
                  <c:v>92</c:v>
                </c:pt>
                <c:pt idx="27">
                  <c:v>83</c:v>
                </c:pt>
                <c:pt idx="28">
                  <c:v>59</c:v>
                </c:pt>
                <c:pt idx="29">
                  <c:v>66</c:v>
                </c:pt>
                <c:pt idx="30">
                  <c:v>74</c:v>
                </c:pt>
                <c:pt idx="31">
                  <c:v>59</c:v>
                </c:pt>
                <c:pt idx="32">
                  <c:v>79</c:v>
                </c:pt>
                <c:pt idx="33">
                  <c:v>66</c:v>
                </c:pt>
                <c:pt idx="34">
                  <c:v>77</c:v>
                </c:pt>
                <c:pt idx="35">
                  <c:v>80</c:v>
                </c:pt>
                <c:pt idx="36">
                  <c:v>73</c:v>
                </c:pt>
                <c:pt idx="37">
                  <c:v>84</c:v>
                </c:pt>
                <c:pt idx="38">
                  <c:v>97</c:v>
                </c:pt>
                <c:pt idx="39">
                  <c:v>91</c:v>
                </c:pt>
                <c:pt idx="40">
                  <c:v>83</c:v>
                </c:pt>
                <c:pt idx="41">
                  <c:v>88</c:v>
                </c:pt>
                <c:pt idx="42">
                  <c:v>71</c:v>
                </c:pt>
                <c:pt idx="43">
                  <c:v>79</c:v>
                </c:pt>
                <c:pt idx="44">
                  <c:v>59</c:v>
                </c:pt>
                <c:pt idx="45">
                  <c:v>60</c:v>
                </c:pt>
                <c:pt idx="46">
                  <c:v>77</c:v>
                </c:pt>
                <c:pt idx="47">
                  <c:v>87</c:v>
                </c:pt>
                <c:pt idx="48">
                  <c:v>91</c:v>
                </c:pt>
                <c:pt idx="49">
                  <c:v>70</c:v>
                </c:pt>
                <c:pt idx="50">
                  <c:v>70</c:v>
                </c:pt>
                <c:pt idx="51">
                  <c:v>80</c:v>
                </c:pt>
                <c:pt idx="52">
                  <c:v>95</c:v>
                </c:pt>
                <c:pt idx="53">
                  <c:v>92</c:v>
                </c:pt>
                <c:pt idx="54">
                  <c:v>83</c:v>
                </c:pt>
                <c:pt idx="55">
                  <c:v>59</c:v>
                </c:pt>
                <c:pt idx="56">
                  <c:v>66</c:v>
                </c:pt>
                <c:pt idx="57">
                  <c:v>74</c:v>
                </c:pt>
                <c:pt idx="58">
                  <c:v>66</c:v>
                </c:pt>
                <c:pt idx="59">
                  <c:v>74</c:v>
                </c:pt>
                <c:pt idx="60">
                  <c:v>59</c:v>
                </c:pt>
                <c:pt idx="61">
                  <c:v>79</c:v>
                </c:pt>
                <c:pt idx="62">
                  <c:v>66</c:v>
                </c:pt>
                <c:pt idx="63">
                  <c:v>91</c:v>
                </c:pt>
                <c:pt idx="64">
                  <c:v>70</c:v>
                </c:pt>
                <c:pt idx="65">
                  <c:v>70</c:v>
                </c:pt>
                <c:pt idx="66">
                  <c:v>80</c:v>
                </c:pt>
                <c:pt idx="67">
                  <c:v>95</c:v>
                </c:pt>
                <c:pt idx="68">
                  <c:v>92</c:v>
                </c:pt>
                <c:pt idx="69">
                  <c:v>83</c:v>
                </c:pt>
                <c:pt idx="70">
                  <c:v>59</c:v>
                </c:pt>
                <c:pt idx="71">
                  <c:v>66</c:v>
                </c:pt>
                <c:pt idx="72">
                  <c:v>74</c:v>
                </c:pt>
                <c:pt idx="73">
                  <c:v>73</c:v>
                </c:pt>
                <c:pt idx="74">
                  <c:v>32</c:v>
                </c:pt>
                <c:pt idx="75">
                  <c:v>58</c:v>
                </c:pt>
                <c:pt idx="76">
                  <c:v>46</c:v>
                </c:pt>
                <c:pt idx="77">
                  <c:v>80</c:v>
                </c:pt>
                <c:pt idx="78">
                  <c:v>99</c:v>
                </c:pt>
                <c:pt idx="79">
                  <c:v>68</c:v>
                </c:pt>
                <c:pt idx="80">
                  <c:v>73</c:v>
                </c:pt>
                <c:pt idx="81">
                  <c:v>52</c:v>
                </c:pt>
                <c:pt idx="82">
                  <c:v>83</c:v>
                </c:pt>
                <c:pt idx="83">
                  <c:v>59</c:v>
                </c:pt>
                <c:pt idx="84">
                  <c:v>66</c:v>
                </c:pt>
                <c:pt idx="85">
                  <c:v>74</c:v>
                </c:pt>
                <c:pt idx="86">
                  <c:v>59</c:v>
                </c:pt>
                <c:pt idx="87">
                  <c:v>79</c:v>
                </c:pt>
                <c:pt idx="88">
                  <c:v>66</c:v>
                </c:pt>
                <c:pt idx="89">
                  <c:v>68</c:v>
                </c:pt>
                <c:pt idx="90">
                  <c:v>60</c:v>
                </c:pt>
                <c:pt idx="91">
                  <c:v>70</c:v>
                </c:pt>
                <c:pt idx="92">
                  <c:v>58</c:v>
                </c:pt>
                <c:pt idx="93">
                  <c:v>72</c:v>
                </c:pt>
                <c:pt idx="94">
                  <c:v>91</c:v>
                </c:pt>
                <c:pt idx="95">
                  <c:v>95</c:v>
                </c:pt>
                <c:pt idx="96">
                  <c:v>99</c:v>
                </c:pt>
                <c:pt idx="97">
                  <c:v>64</c:v>
                </c:pt>
                <c:pt idx="98">
                  <c:v>85</c:v>
                </c:pt>
                <c:pt idx="99">
                  <c:v>88</c:v>
                </c:pt>
                <c:pt idx="100">
                  <c:v>89</c:v>
                </c:pt>
                <c:pt idx="101">
                  <c:v>99</c:v>
                </c:pt>
                <c:pt idx="102">
                  <c:v>60</c:v>
                </c:pt>
                <c:pt idx="103">
                  <c:v>72</c:v>
                </c:pt>
                <c:pt idx="104">
                  <c:v>58</c:v>
                </c:pt>
                <c:pt idx="105">
                  <c:v>88</c:v>
                </c:pt>
                <c:pt idx="106">
                  <c:v>79</c:v>
                </c:pt>
                <c:pt idx="107">
                  <c:v>68</c:v>
                </c:pt>
                <c:pt idx="108">
                  <c:v>50</c:v>
                </c:pt>
                <c:pt idx="109">
                  <c:v>80</c:v>
                </c:pt>
                <c:pt idx="110">
                  <c:v>79</c:v>
                </c:pt>
                <c:pt idx="111">
                  <c:v>83</c:v>
                </c:pt>
                <c:pt idx="112">
                  <c:v>82</c:v>
                </c:pt>
                <c:pt idx="113">
                  <c:v>91</c:v>
                </c:pt>
                <c:pt idx="114">
                  <c:v>85</c:v>
                </c:pt>
                <c:pt idx="115">
                  <c:v>79</c:v>
                </c:pt>
                <c:pt idx="116">
                  <c:v>60</c:v>
                </c:pt>
                <c:pt idx="117">
                  <c:v>59</c:v>
                </c:pt>
                <c:pt idx="118">
                  <c:v>69</c:v>
                </c:pt>
                <c:pt idx="119">
                  <c:v>68</c:v>
                </c:pt>
                <c:pt idx="120">
                  <c:v>60</c:v>
                </c:pt>
                <c:pt idx="121">
                  <c:v>85</c:v>
                </c:pt>
                <c:pt idx="122">
                  <c:v>70</c:v>
                </c:pt>
                <c:pt idx="123">
                  <c:v>89</c:v>
                </c:pt>
                <c:pt idx="124">
                  <c:v>97</c:v>
                </c:pt>
                <c:pt idx="125">
                  <c:v>93</c:v>
                </c:pt>
                <c:pt idx="126">
                  <c:v>65</c:v>
                </c:pt>
                <c:pt idx="127">
                  <c:v>99</c:v>
                </c:pt>
                <c:pt idx="128">
                  <c:v>81</c:v>
                </c:pt>
                <c:pt idx="12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D-410F-BF3D-D18F996D0A19}"/>
            </c:ext>
          </c:extLst>
        </c:ser>
        <c:ser>
          <c:idx val="2"/>
          <c:order val="2"/>
          <c:tx>
            <c:strRef>
              <c:f>'Sheet 2'!$H$2</c:f>
              <c:strCache>
                <c:ptCount val="1"/>
                <c:pt idx="0">
                  <c:v>Sum of 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2'!$E$3:$E$133</c:f>
              <c:strCache>
                <c:ptCount val="1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  <c:pt idx="50">
                  <c:v>S051</c:v>
                </c:pt>
                <c:pt idx="51">
                  <c:v>S052</c:v>
                </c:pt>
                <c:pt idx="52">
                  <c:v>S053</c:v>
                </c:pt>
                <c:pt idx="53">
                  <c:v>S054</c:v>
                </c:pt>
                <c:pt idx="54">
                  <c:v>S055</c:v>
                </c:pt>
                <c:pt idx="55">
                  <c:v>S056</c:v>
                </c:pt>
                <c:pt idx="56">
                  <c:v>S057</c:v>
                </c:pt>
                <c:pt idx="57">
                  <c:v>S058</c:v>
                </c:pt>
                <c:pt idx="58">
                  <c:v>S059</c:v>
                </c:pt>
                <c:pt idx="59">
                  <c:v>S060</c:v>
                </c:pt>
                <c:pt idx="60">
                  <c:v>S061</c:v>
                </c:pt>
                <c:pt idx="61">
                  <c:v>S062</c:v>
                </c:pt>
                <c:pt idx="62">
                  <c:v>S063</c:v>
                </c:pt>
                <c:pt idx="63">
                  <c:v>S064</c:v>
                </c:pt>
                <c:pt idx="64">
                  <c:v>S065</c:v>
                </c:pt>
                <c:pt idx="65">
                  <c:v>S066</c:v>
                </c:pt>
                <c:pt idx="66">
                  <c:v>S067</c:v>
                </c:pt>
                <c:pt idx="67">
                  <c:v>S068</c:v>
                </c:pt>
                <c:pt idx="68">
                  <c:v>S069</c:v>
                </c:pt>
                <c:pt idx="69">
                  <c:v>S070</c:v>
                </c:pt>
                <c:pt idx="70">
                  <c:v>S071</c:v>
                </c:pt>
                <c:pt idx="71">
                  <c:v>S072</c:v>
                </c:pt>
                <c:pt idx="72">
                  <c:v>S073</c:v>
                </c:pt>
                <c:pt idx="73">
                  <c:v>S074</c:v>
                </c:pt>
                <c:pt idx="74">
                  <c:v>S075</c:v>
                </c:pt>
                <c:pt idx="75">
                  <c:v>S076</c:v>
                </c:pt>
                <c:pt idx="76">
                  <c:v>S077</c:v>
                </c:pt>
                <c:pt idx="77">
                  <c:v>S078</c:v>
                </c:pt>
                <c:pt idx="78">
                  <c:v>S079</c:v>
                </c:pt>
                <c:pt idx="79">
                  <c:v>S080</c:v>
                </c:pt>
                <c:pt idx="80">
                  <c:v>S081</c:v>
                </c:pt>
                <c:pt idx="81">
                  <c:v>S082</c:v>
                </c:pt>
                <c:pt idx="82">
                  <c:v>S083</c:v>
                </c:pt>
                <c:pt idx="83">
                  <c:v>S084</c:v>
                </c:pt>
                <c:pt idx="84">
                  <c:v>S085</c:v>
                </c:pt>
                <c:pt idx="85">
                  <c:v>S086</c:v>
                </c:pt>
                <c:pt idx="86">
                  <c:v>S087</c:v>
                </c:pt>
                <c:pt idx="87">
                  <c:v>S088</c:v>
                </c:pt>
                <c:pt idx="88">
                  <c:v>S089</c:v>
                </c:pt>
                <c:pt idx="89">
                  <c:v>S090</c:v>
                </c:pt>
                <c:pt idx="90">
                  <c:v>S091</c:v>
                </c:pt>
                <c:pt idx="91">
                  <c:v>S092</c:v>
                </c:pt>
                <c:pt idx="92">
                  <c:v>S093</c:v>
                </c:pt>
                <c:pt idx="93">
                  <c:v>S094</c:v>
                </c:pt>
                <c:pt idx="94">
                  <c:v>S095</c:v>
                </c:pt>
                <c:pt idx="95">
                  <c:v>S096</c:v>
                </c:pt>
                <c:pt idx="96">
                  <c:v>S097</c:v>
                </c:pt>
                <c:pt idx="97">
                  <c:v>S098</c:v>
                </c:pt>
                <c:pt idx="98">
                  <c:v>S099</c:v>
                </c:pt>
                <c:pt idx="99">
                  <c:v>S100</c:v>
                </c:pt>
                <c:pt idx="100">
                  <c:v>S101</c:v>
                </c:pt>
                <c:pt idx="101">
                  <c:v>S102</c:v>
                </c:pt>
                <c:pt idx="102">
                  <c:v>S103</c:v>
                </c:pt>
                <c:pt idx="103">
                  <c:v>S104</c:v>
                </c:pt>
                <c:pt idx="104">
                  <c:v>S105</c:v>
                </c:pt>
                <c:pt idx="105">
                  <c:v>S106</c:v>
                </c:pt>
                <c:pt idx="106">
                  <c:v>S107</c:v>
                </c:pt>
                <c:pt idx="107">
                  <c:v>S108</c:v>
                </c:pt>
                <c:pt idx="108">
                  <c:v>S109</c:v>
                </c:pt>
                <c:pt idx="109">
                  <c:v>S110</c:v>
                </c:pt>
                <c:pt idx="110">
                  <c:v>S111</c:v>
                </c:pt>
                <c:pt idx="111">
                  <c:v>S112</c:v>
                </c:pt>
                <c:pt idx="112">
                  <c:v>S113</c:v>
                </c:pt>
                <c:pt idx="113">
                  <c:v>S114</c:v>
                </c:pt>
                <c:pt idx="114">
                  <c:v>S115</c:v>
                </c:pt>
                <c:pt idx="115">
                  <c:v>S116</c:v>
                </c:pt>
                <c:pt idx="116">
                  <c:v>S117</c:v>
                </c:pt>
                <c:pt idx="117">
                  <c:v>S118</c:v>
                </c:pt>
                <c:pt idx="118">
                  <c:v>S119</c:v>
                </c:pt>
                <c:pt idx="119">
                  <c:v>S120</c:v>
                </c:pt>
                <c:pt idx="120">
                  <c:v>S121</c:v>
                </c:pt>
                <c:pt idx="121">
                  <c:v>S122</c:v>
                </c:pt>
                <c:pt idx="122">
                  <c:v>S123</c:v>
                </c:pt>
                <c:pt idx="123">
                  <c:v>S124</c:v>
                </c:pt>
                <c:pt idx="124">
                  <c:v>S125</c:v>
                </c:pt>
                <c:pt idx="125">
                  <c:v>S126</c:v>
                </c:pt>
                <c:pt idx="126">
                  <c:v>S127</c:v>
                </c:pt>
                <c:pt idx="127">
                  <c:v>S128</c:v>
                </c:pt>
                <c:pt idx="128">
                  <c:v>S129</c:v>
                </c:pt>
                <c:pt idx="129">
                  <c:v>S130</c:v>
                </c:pt>
              </c:strCache>
            </c:strRef>
          </c:cat>
          <c:val>
            <c:numRef>
              <c:f>'Sheet 2'!$H$3:$H$133</c:f>
              <c:numCache>
                <c:formatCode>General</c:formatCode>
                <c:ptCount val="130"/>
                <c:pt idx="0">
                  <c:v>90</c:v>
                </c:pt>
                <c:pt idx="1">
                  <c:v>69</c:v>
                </c:pt>
                <c:pt idx="2">
                  <c:v>79</c:v>
                </c:pt>
                <c:pt idx="3">
                  <c:v>68</c:v>
                </c:pt>
                <c:pt idx="4">
                  <c:v>84</c:v>
                </c:pt>
                <c:pt idx="5">
                  <c:v>91</c:v>
                </c:pt>
                <c:pt idx="6">
                  <c:v>70</c:v>
                </c:pt>
                <c:pt idx="7">
                  <c:v>70</c:v>
                </c:pt>
                <c:pt idx="8">
                  <c:v>80</c:v>
                </c:pt>
                <c:pt idx="9">
                  <c:v>95</c:v>
                </c:pt>
                <c:pt idx="10">
                  <c:v>92</c:v>
                </c:pt>
                <c:pt idx="11">
                  <c:v>83</c:v>
                </c:pt>
                <c:pt idx="12">
                  <c:v>59</c:v>
                </c:pt>
                <c:pt idx="13">
                  <c:v>66</c:v>
                </c:pt>
                <c:pt idx="14">
                  <c:v>74</c:v>
                </c:pt>
                <c:pt idx="15">
                  <c:v>58</c:v>
                </c:pt>
                <c:pt idx="16">
                  <c:v>56</c:v>
                </c:pt>
                <c:pt idx="17">
                  <c:v>43</c:v>
                </c:pt>
                <c:pt idx="18">
                  <c:v>57</c:v>
                </c:pt>
                <c:pt idx="19">
                  <c:v>57</c:v>
                </c:pt>
                <c:pt idx="20">
                  <c:v>69</c:v>
                </c:pt>
                <c:pt idx="21">
                  <c:v>78</c:v>
                </c:pt>
                <c:pt idx="22">
                  <c:v>43</c:v>
                </c:pt>
                <c:pt idx="23">
                  <c:v>52</c:v>
                </c:pt>
                <c:pt idx="24">
                  <c:v>69</c:v>
                </c:pt>
                <c:pt idx="25">
                  <c:v>50</c:v>
                </c:pt>
                <c:pt idx="26">
                  <c:v>79</c:v>
                </c:pt>
                <c:pt idx="27">
                  <c:v>82</c:v>
                </c:pt>
                <c:pt idx="28">
                  <c:v>94</c:v>
                </c:pt>
                <c:pt idx="29">
                  <c:v>81</c:v>
                </c:pt>
                <c:pt idx="30">
                  <c:v>77</c:v>
                </c:pt>
                <c:pt idx="31">
                  <c:v>94</c:v>
                </c:pt>
                <c:pt idx="32">
                  <c:v>73</c:v>
                </c:pt>
                <c:pt idx="33">
                  <c:v>83</c:v>
                </c:pt>
                <c:pt idx="34">
                  <c:v>59</c:v>
                </c:pt>
                <c:pt idx="35">
                  <c:v>66</c:v>
                </c:pt>
                <c:pt idx="36">
                  <c:v>74</c:v>
                </c:pt>
                <c:pt idx="37">
                  <c:v>59</c:v>
                </c:pt>
                <c:pt idx="38">
                  <c:v>79</c:v>
                </c:pt>
                <c:pt idx="39">
                  <c:v>66</c:v>
                </c:pt>
                <c:pt idx="40">
                  <c:v>59</c:v>
                </c:pt>
                <c:pt idx="41">
                  <c:v>66</c:v>
                </c:pt>
                <c:pt idx="42">
                  <c:v>74</c:v>
                </c:pt>
                <c:pt idx="43">
                  <c:v>59</c:v>
                </c:pt>
                <c:pt idx="44">
                  <c:v>79</c:v>
                </c:pt>
                <c:pt idx="45">
                  <c:v>66</c:v>
                </c:pt>
                <c:pt idx="46">
                  <c:v>97</c:v>
                </c:pt>
                <c:pt idx="47">
                  <c:v>89</c:v>
                </c:pt>
                <c:pt idx="48">
                  <c:v>99</c:v>
                </c:pt>
                <c:pt idx="49">
                  <c:v>68</c:v>
                </c:pt>
                <c:pt idx="50">
                  <c:v>73</c:v>
                </c:pt>
                <c:pt idx="51">
                  <c:v>52</c:v>
                </c:pt>
                <c:pt idx="52">
                  <c:v>69</c:v>
                </c:pt>
                <c:pt idx="53">
                  <c:v>77</c:v>
                </c:pt>
                <c:pt idx="54">
                  <c:v>88</c:v>
                </c:pt>
                <c:pt idx="55">
                  <c:v>92</c:v>
                </c:pt>
                <c:pt idx="56">
                  <c:v>94</c:v>
                </c:pt>
                <c:pt idx="57">
                  <c:v>60</c:v>
                </c:pt>
                <c:pt idx="58">
                  <c:v>96</c:v>
                </c:pt>
                <c:pt idx="59">
                  <c:v>80</c:v>
                </c:pt>
                <c:pt idx="60">
                  <c:v>79</c:v>
                </c:pt>
                <c:pt idx="61">
                  <c:v>72</c:v>
                </c:pt>
                <c:pt idx="62">
                  <c:v>99</c:v>
                </c:pt>
                <c:pt idx="63">
                  <c:v>66</c:v>
                </c:pt>
                <c:pt idx="64">
                  <c:v>89</c:v>
                </c:pt>
                <c:pt idx="65">
                  <c:v>62</c:v>
                </c:pt>
                <c:pt idx="66">
                  <c:v>56</c:v>
                </c:pt>
                <c:pt idx="67">
                  <c:v>84</c:v>
                </c:pt>
                <c:pt idx="68">
                  <c:v>86</c:v>
                </c:pt>
                <c:pt idx="69">
                  <c:v>91</c:v>
                </c:pt>
                <c:pt idx="70">
                  <c:v>70</c:v>
                </c:pt>
                <c:pt idx="71">
                  <c:v>70</c:v>
                </c:pt>
                <c:pt idx="72">
                  <c:v>80</c:v>
                </c:pt>
                <c:pt idx="73">
                  <c:v>95</c:v>
                </c:pt>
                <c:pt idx="74">
                  <c:v>92</c:v>
                </c:pt>
                <c:pt idx="75">
                  <c:v>83</c:v>
                </c:pt>
                <c:pt idx="76">
                  <c:v>59</c:v>
                </c:pt>
                <c:pt idx="77">
                  <c:v>66</c:v>
                </c:pt>
                <c:pt idx="78">
                  <c:v>74</c:v>
                </c:pt>
                <c:pt idx="79">
                  <c:v>59</c:v>
                </c:pt>
                <c:pt idx="80">
                  <c:v>79</c:v>
                </c:pt>
                <c:pt idx="81">
                  <c:v>66</c:v>
                </c:pt>
                <c:pt idx="82">
                  <c:v>77</c:v>
                </c:pt>
                <c:pt idx="83">
                  <c:v>80</c:v>
                </c:pt>
                <c:pt idx="84">
                  <c:v>73</c:v>
                </c:pt>
                <c:pt idx="85">
                  <c:v>84</c:v>
                </c:pt>
                <c:pt idx="86">
                  <c:v>97</c:v>
                </c:pt>
                <c:pt idx="87">
                  <c:v>91</c:v>
                </c:pt>
                <c:pt idx="88">
                  <c:v>83</c:v>
                </c:pt>
                <c:pt idx="89">
                  <c:v>88</c:v>
                </c:pt>
                <c:pt idx="90">
                  <c:v>71</c:v>
                </c:pt>
                <c:pt idx="91">
                  <c:v>79</c:v>
                </c:pt>
                <c:pt idx="92">
                  <c:v>59</c:v>
                </c:pt>
                <c:pt idx="93">
                  <c:v>60</c:v>
                </c:pt>
                <c:pt idx="94">
                  <c:v>79</c:v>
                </c:pt>
                <c:pt idx="95">
                  <c:v>81</c:v>
                </c:pt>
                <c:pt idx="96">
                  <c:v>90</c:v>
                </c:pt>
                <c:pt idx="97">
                  <c:v>68</c:v>
                </c:pt>
                <c:pt idx="98">
                  <c:v>60</c:v>
                </c:pt>
                <c:pt idx="99">
                  <c:v>70</c:v>
                </c:pt>
                <c:pt idx="100">
                  <c:v>58</c:v>
                </c:pt>
                <c:pt idx="101">
                  <c:v>72</c:v>
                </c:pt>
                <c:pt idx="102">
                  <c:v>91</c:v>
                </c:pt>
                <c:pt idx="103">
                  <c:v>95</c:v>
                </c:pt>
                <c:pt idx="104">
                  <c:v>99</c:v>
                </c:pt>
                <c:pt idx="105">
                  <c:v>64</c:v>
                </c:pt>
                <c:pt idx="106">
                  <c:v>85</c:v>
                </c:pt>
                <c:pt idx="107">
                  <c:v>88</c:v>
                </c:pt>
                <c:pt idx="108">
                  <c:v>89</c:v>
                </c:pt>
                <c:pt idx="109">
                  <c:v>99</c:v>
                </c:pt>
                <c:pt idx="110">
                  <c:v>60</c:v>
                </c:pt>
                <c:pt idx="111">
                  <c:v>72</c:v>
                </c:pt>
                <c:pt idx="112">
                  <c:v>58</c:v>
                </c:pt>
                <c:pt idx="113">
                  <c:v>88</c:v>
                </c:pt>
                <c:pt idx="114">
                  <c:v>79</c:v>
                </c:pt>
                <c:pt idx="115">
                  <c:v>68</c:v>
                </c:pt>
                <c:pt idx="116">
                  <c:v>50</c:v>
                </c:pt>
                <c:pt idx="117">
                  <c:v>80</c:v>
                </c:pt>
                <c:pt idx="118">
                  <c:v>79</c:v>
                </c:pt>
                <c:pt idx="119">
                  <c:v>83</c:v>
                </c:pt>
                <c:pt idx="120">
                  <c:v>82</c:v>
                </c:pt>
                <c:pt idx="121">
                  <c:v>91</c:v>
                </c:pt>
                <c:pt idx="122">
                  <c:v>85</c:v>
                </c:pt>
                <c:pt idx="123">
                  <c:v>79</c:v>
                </c:pt>
                <c:pt idx="124">
                  <c:v>60</c:v>
                </c:pt>
                <c:pt idx="125">
                  <c:v>59</c:v>
                </c:pt>
                <c:pt idx="126">
                  <c:v>69</c:v>
                </c:pt>
                <c:pt idx="127">
                  <c:v>68</c:v>
                </c:pt>
                <c:pt idx="128">
                  <c:v>60</c:v>
                </c:pt>
                <c:pt idx="12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D-410F-BF3D-D18F996D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674559"/>
        <c:axId val="823670239"/>
      </c:barChart>
      <c:catAx>
        <c:axId val="82367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670239"/>
        <c:crosses val="autoZero"/>
        <c:auto val="1"/>
        <c:lblAlgn val="ctr"/>
        <c:lblOffset val="100"/>
        <c:noMultiLvlLbl val="0"/>
      </c:catAx>
      <c:valAx>
        <c:axId val="8236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67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[a39dde1d6c1e40064042.xlsx]Sheet 2!PivotTable10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'Sheet 2'!$K$1:$K$2</c:f>
              <c:strCache>
                <c:ptCount val="1"/>
                <c:pt idx="0">
                  <c:v>Female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1-4A16-A9EC-066E278FF5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1-4A16-A9EC-066E278FF5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71-4A16-A9EC-066E278FF5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71-4A16-A9EC-066E278FF5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71-4A16-A9EC-066E278FF5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71-4A16-A9EC-066E278FF5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71-4A16-A9EC-066E278FF5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71-4A16-A9EC-066E278FF5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771-4A16-A9EC-066E278FF57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771-4A16-A9EC-066E278FF57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771-4A16-A9EC-066E278FF57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771-4A16-A9EC-066E278FF57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771-4A16-A9EC-066E278FF57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771-4A16-A9EC-066E278FF5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771-4A16-A9EC-066E278FF57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771-4A16-A9EC-066E278FF57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771-4A16-A9EC-066E278FF57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771-4A16-A9EC-066E278FF57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771-4A16-A9EC-066E278FF57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771-4A16-A9EC-066E278FF57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771-4A16-A9EC-066E278FF57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771-4A16-A9EC-066E278FF57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771-4A16-A9EC-066E278FF57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771-4A16-A9EC-066E278FF57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771-4A16-A9EC-066E278FF57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771-4A16-A9EC-066E278FF57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771-4A16-A9EC-066E278FF57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771-4A16-A9EC-066E278FF57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771-4A16-A9EC-066E278FF57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771-4A16-A9EC-066E278FF57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771-4A16-A9EC-066E278FF57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771-4A16-A9EC-066E278FF57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771-4A16-A9EC-066E278FF57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771-4A16-A9EC-066E278FF57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771-4A16-A9EC-066E278FF57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771-4A16-A9EC-066E278FF57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771-4A16-A9EC-066E278FF57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771-4A16-A9EC-066E278FF57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771-4A16-A9EC-066E278FF57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771-4A16-A9EC-066E278FF57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771-4A16-A9EC-066E278FF57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771-4A16-A9EC-066E278FF57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771-4A16-A9EC-066E278FF57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771-4A16-A9EC-066E278FF57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771-4A16-A9EC-066E278FF57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771-4A16-A9EC-066E278FF57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771-4A16-A9EC-066E278FF57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771-4A16-A9EC-066E278FF57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771-4A16-A9EC-066E278FF57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771-4A16-A9EC-066E278FF578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771-4A16-A9EC-066E278FF578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771-4A16-A9EC-066E278FF578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E771-4A16-A9EC-066E278FF578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E771-4A16-A9EC-066E278FF578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E771-4A16-A9EC-066E278FF578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E771-4A16-A9EC-066E278FF578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E771-4A16-A9EC-066E278FF578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E771-4A16-A9EC-066E278FF578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E771-4A16-A9EC-066E278FF578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E771-4A16-A9EC-066E278FF578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E771-4A16-A9EC-066E278FF578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E771-4A16-A9EC-066E278FF578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E771-4A16-A9EC-066E278FF578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E771-4A16-A9EC-066E278FF578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E771-4A16-A9EC-066E278FF578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E771-4A16-A9EC-066E278FF578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E771-4A16-A9EC-066E278FF578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E771-4A16-A9EC-066E278FF578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E771-4A16-A9EC-066E278FF578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E771-4A16-A9EC-066E278FF578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E771-4A16-A9EC-066E278FF578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E771-4A16-A9EC-066E278FF578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E771-4A16-A9EC-066E278FF578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E771-4A16-A9EC-066E278FF578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E771-4A16-A9EC-066E278FF578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E771-4A16-A9EC-066E278FF578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E771-4A16-A9EC-066E278FF578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E771-4A16-A9EC-066E278FF578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E771-4A16-A9EC-066E278FF578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E771-4A16-A9EC-066E278FF578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E771-4A16-A9EC-066E278FF578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E771-4A16-A9EC-066E278FF578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E771-4A16-A9EC-066E278FF578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E771-4A16-A9EC-066E278FF578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E771-4A16-A9EC-066E278FF578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E771-4A16-A9EC-066E278FF578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E771-4A16-A9EC-066E278FF578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E771-4A16-A9EC-066E278FF578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E771-4A16-A9EC-066E278FF578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E771-4A16-A9EC-066E278FF578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E771-4A16-A9EC-066E278FF578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E771-4A16-A9EC-066E278FF578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E771-4A16-A9EC-066E278FF578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E771-4A16-A9EC-066E278FF578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E771-4A16-A9EC-066E278FF578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E771-4A16-A9EC-066E278FF578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E771-4A16-A9EC-066E278FF578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E771-4A16-A9EC-066E278FF578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E771-4A16-A9EC-066E278FF578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E771-4A16-A9EC-066E278FF578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E771-4A16-A9EC-066E278FF578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E771-4A16-A9EC-066E278FF578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E771-4A16-A9EC-066E278FF578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E771-4A16-A9EC-066E278FF578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E771-4A16-A9EC-066E278FF578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E771-4A16-A9EC-066E278FF578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E771-4A16-A9EC-066E278FF578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E771-4A16-A9EC-066E278FF578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E771-4A16-A9EC-066E278FF578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E771-4A16-A9EC-066E278FF578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E771-4A16-A9EC-066E278FF578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E771-4A16-A9EC-066E278FF578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E771-4A16-A9EC-066E278FF578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E771-4A16-A9EC-066E278FF578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E771-4A16-A9EC-066E278FF578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E771-4A16-A9EC-066E278FF578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E771-4A16-A9EC-066E278FF578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E771-4A16-A9EC-066E278FF578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E771-4A16-A9EC-066E278FF578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E771-4A16-A9EC-066E278FF578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E771-4A16-A9EC-066E278FF578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E771-4A16-A9EC-066E278FF578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E771-4A16-A9EC-066E278FF578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E771-4A16-A9EC-066E278FF578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E771-4A16-A9EC-066E278FF57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E771-4A16-A9EC-066E278FF57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E771-4A16-A9EC-066E278FF57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E771-4A16-A9EC-066E278FF57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E771-4A16-A9EC-066E278FF57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E771-4A16-A9EC-066E278FF57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E771-4A16-A9EC-066E278FF578}"/>
              </c:ext>
            </c:extLst>
          </c:dPt>
          <c:cat>
            <c:strRef>
              <c:f>'Sheet 2'!$J$3:$J$133</c:f>
              <c:strCache>
                <c:ptCount val="1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  <c:pt idx="50">
                  <c:v>S051</c:v>
                </c:pt>
                <c:pt idx="51">
                  <c:v>S052</c:v>
                </c:pt>
                <c:pt idx="52">
                  <c:v>S053</c:v>
                </c:pt>
                <c:pt idx="53">
                  <c:v>S054</c:v>
                </c:pt>
                <c:pt idx="54">
                  <c:v>S055</c:v>
                </c:pt>
                <c:pt idx="55">
                  <c:v>S056</c:v>
                </c:pt>
                <c:pt idx="56">
                  <c:v>S057</c:v>
                </c:pt>
                <c:pt idx="57">
                  <c:v>S058</c:v>
                </c:pt>
                <c:pt idx="58">
                  <c:v>S059</c:v>
                </c:pt>
                <c:pt idx="59">
                  <c:v>S060</c:v>
                </c:pt>
                <c:pt idx="60">
                  <c:v>S061</c:v>
                </c:pt>
                <c:pt idx="61">
                  <c:v>S062</c:v>
                </c:pt>
                <c:pt idx="62">
                  <c:v>S063</c:v>
                </c:pt>
                <c:pt idx="63">
                  <c:v>S064</c:v>
                </c:pt>
                <c:pt idx="64">
                  <c:v>S065</c:v>
                </c:pt>
                <c:pt idx="65">
                  <c:v>S066</c:v>
                </c:pt>
                <c:pt idx="66">
                  <c:v>S067</c:v>
                </c:pt>
                <c:pt idx="67">
                  <c:v>S068</c:v>
                </c:pt>
                <c:pt idx="68">
                  <c:v>S069</c:v>
                </c:pt>
                <c:pt idx="69">
                  <c:v>S070</c:v>
                </c:pt>
                <c:pt idx="70">
                  <c:v>S071</c:v>
                </c:pt>
                <c:pt idx="71">
                  <c:v>S072</c:v>
                </c:pt>
                <c:pt idx="72">
                  <c:v>S073</c:v>
                </c:pt>
                <c:pt idx="73">
                  <c:v>S074</c:v>
                </c:pt>
                <c:pt idx="74">
                  <c:v>S075</c:v>
                </c:pt>
                <c:pt idx="75">
                  <c:v>S076</c:v>
                </c:pt>
                <c:pt idx="76">
                  <c:v>S077</c:v>
                </c:pt>
                <c:pt idx="77">
                  <c:v>S078</c:v>
                </c:pt>
                <c:pt idx="78">
                  <c:v>S079</c:v>
                </c:pt>
                <c:pt idx="79">
                  <c:v>S080</c:v>
                </c:pt>
                <c:pt idx="80">
                  <c:v>S081</c:v>
                </c:pt>
                <c:pt idx="81">
                  <c:v>S082</c:v>
                </c:pt>
                <c:pt idx="82">
                  <c:v>S083</c:v>
                </c:pt>
                <c:pt idx="83">
                  <c:v>S084</c:v>
                </c:pt>
                <c:pt idx="84">
                  <c:v>S085</c:v>
                </c:pt>
                <c:pt idx="85">
                  <c:v>S086</c:v>
                </c:pt>
                <c:pt idx="86">
                  <c:v>S087</c:v>
                </c:pt>
                <c:pt idx="87">
                  <c:v>S088</c:v>
                </c:pt>
                <c:pt idx="88">
                  <c:v>S089</c:v>
                </c:pt>
                <c:pt idx="89">
                  <c:v>S090</c:v>
                </c:pt>
                <c:pt idx="90">
                  <c:v>S091</c:v>
                </c:pt>
                <c:pt idx="91">
                  <c:v>S092</c:v>
                </c:pt>
                <c:pt idx="92">
                  <c:v>S093</c:v>
                </c:pt>
                <c:pt idx="93">
                  <c:v>S094</c:v>
                </c:pt>
                <c:pt idx="94">
                  <c:v>S095</c:v>
                </c:pt>
                <c:pt idx="95">
                  <c:v>S096</c:v>
                </c:pt>
                <c:pt idx="96">
                  <c:v>S097</c:v>
                </c:pt>
                <c:pt idx="97">
                  <c:v>S098</c:v>
                </c:pt>
                <c:pt idx="98">
                  <c:v>S099</c:v>
                </c:pt>
                <c:pt idx="99">
                  <c:v>S100</c:v>
                </c:pt>
                <c:pt idx="100">
                  <c:v>S101</c:v>
                </c:pt>
                <c:pt idx="101">
                  <c:v>S102</c:v>
                </c:pt>
                <c:pt idx="102">
                  <c:v>S103</c:v>
                </c:pt>
                <c:pt idx="103">
                  <c:v>S104</c:v>
                </c:pt>
                <c:pt idx="104">
                  <c:v>S105</c:v>
                </c:pt>
                <c:pt idx="105">
                  <c:v>S106</c:v>
                </c:pt>
                <c:pt idx="106">
                  <c:v>S107</c:v>
                </c:pt>
                <c:pt idx="107">
                  <c:v>S108</c:v>
                </c:pt>
                <c:pt idx="108">
                  <c:v>S109</c:v>
                </c:pt>
                <c:pt idx="109">
                  <c:v>S110</c:v>
                </c:pt>
                <c:pt idx="110">
                  <c:v>S111</c:v>
                </c:pt>
                <c:pt idx="111">
                  <c:v>S112</c:v>
                </c:pt>
                <c:pt idx="112">
                  <c:v>S113</c:v>
                </c:pt>
                <c:pt idx="113">
                  <c:v>S114</c:v>
                </c:pt>
                <c:pt idx="114">
                  <c:v>S115</c:v>
                </c:pt>
                <c:pt idx="115">
                  <c:v>S116</c:v>
                </c:pt>
                <c:pt idx="116">
                  <c:v>S117</c:v>
                </c:pt>
                <c:pt idx="117">
                  <c:v>S118</c:v>
                </c:pt>
                <c:pt idx="118">
                  <c:v>S119</c:v>
                </c:pt>
                <c:pt idx="119">
                  <c:v>S120</c:v>
                </c:pt>
                <c:pt idx="120">
                  <c:v>S121</c:v>
                </c:pt>
                <c:pt idx="121">
                  <c:v>S122</c:v>
                </c:pt>
                <c:pt idx="122">
                  <c:v>S123</c:v>
                </c:pt>
                <c:pt idx="123">
                  <c:v>S124</c:v>
                </c:pt>
                <c:pt idx="124">
                  <c:v>S125</c:v>
                </c:pt>
                <c:pt idx="125">
                  <c:v>S126</c:v>
                </c:pt>
                <c:pt idx="126">
                  <c:v>S127</c:v>
                </c:pt>
                <c:pt idx="127">
                  <c:v>S128</c:v>
                </c:pt>
                <c:pt idx="128">
                  <c:v>S129</c:v>
                </c:pt>
                <c:pt idx="129">
                  <c:v>S130</c:v>
                </c:pt>
              </c:strCache>
            </c:strRef>
          </c:cat>
          <c:val>
            <c:numRef>
              <c:f>'Sheet 2'!$K$3:$K$133</c:f>
              <c:numCache>
                <c:formatCode>General</c:formatCode>
                <c:ptCount val="130"/>
                <c:pt idx="2">
                  <c:v>75.544270833333371</c:v>
                </c:pt>
                <c:pt idx="4">
                  <c:v>75.460317460317498</c:v>
                </c:pt>
                <c:pt idx="5">
                  <c:v>75.472000000000037</c:v>
                </c:pt>
                <c:pt idx="7">
                  <c:v>75.531165311653169</c:v>
                </c:pt>
                <c:pt idx="10">
                  <c:v>75.544444444444466</c:v>
                </c:pt>
                <c:pt idx="11">
                  <c:v>75.375350140056057</c:v>
                </c:pt>
                <c:pt idx="13">
                  <c:v>75.404558404558443</c:v>
                </c:pt>
                <c:pt idx="14">
                  <c:v>75.508620689655203</c:v>
                </c:pt>
                <c:pt idx="18">
                  <c:v>75.60714285714289</c:v>
                </c:pt>
                <c:pt idx="19">
                  <c:v>75.666666666666686</c:v>
                </c:pt>
                <c:pt idx="20">
                  <c:v>75.745454545454564</c:v>
                </c:pt>
                <c:pt idx="22">
                  <c:v>75.604938271604951</c:v>
                </c:pt>
                <c:pt idx="24">
                  <c:v>75.817610062893095</c:v>
                </c:pt>
                <c:pt idx="26">
                  <c:v>75.804487179487197</c:v>
                </c:pt>
                <c:pt idx="28">
                  <c:v>75.699346405228766</c:v>
                </c:pt>
                <c:pt idx="30">
                  <c:v>75.746666666666684</c:v>
                </c:pt>
                <c:pt idx="33">
                  <c:v>75.673539518900355</c:v>
                </c:pt>
                <c:pt idx="36">
                  <c:v>75.691489361702125</c:v>
                </c:pt>
                <c:pt idx="38">
                  <c:v>75.65217391304347</c:v>
                </c:pt>
                <c:pt idx="39">
                  <c:v>75.622710622710628</c:v>
                </c:pt>
                <c:pt idx="40">
                  <c:v>75.637037037037032</c:v>
                </c:pt>
                <c:pt idx="41">
                  <c:v>75.677902621722836</c:v>
                </c:pt>
                <c:pt idx="42">
                  <c:v>75.731060606060609</c:v>
                </c:pt>
                <c:pt idx="43">
                  <c:v>75.743295019157088</c:v>
                </c:pt>
                <c:pt idx="49">
                  <c:v>75.514403292181058</c:v>
                </c:pt>
                <c:pt idx="50">
                  <c:v>75.504166666666649</c:v>
                </c:pt>
                <c:pt idx="51">
                  <c:v>75.506329113924025</c:v>
                </c:pt>
                <c:pt idx="54">
                  <c:v>75.403508771929808</c:v>
                </c:pt>
                <c:pt idx="57">
                  <c:v>75.465753424657507</c:v>
                </c:pt>
                <c:pt idx="58">
                  <c:v>75.499999999999972</c:v>
                </c:pt>
                <c:pt idx="59">
                  <c:v>75.389671361502309</c:v>
                </c:pt>
                <c:pt idx="60">
                  <c:v>75.309523809523782</c:v>
                </c:pt>
                <c:pt idx="64">
                  <c:v>75.328282828282823</c:v>
                </c:pt>
                <c:pt idx="65">
                  <c:v>75.220512820512795</c:v>
                </c:pt>
                <c:pt idx="67">
                  <c:v>75.412698412698404</c:v>
                </c:pt>
                <c:pt idx="68">
                  <c:v>75.397849462365585</c:v>
                </c:pt>
                <c:pt idx="71">
                  <c:v>75.146892655367239</c:v>
                </c:pt>
                <c:pt idx="73">
                  <c:v>75.076023391812853</c:v>
                </c:pt>
                <c:pt idx="74">
                  <c:v>74.910714285714306</c:v>
                </c:pt>
                <c:pt idx="76">
                  <c:v>75.191358024691354</c:v>
                </c:pt>
                <c:pt idx="78">
                  <c:v>75.65384615384616</c:v>
                </c:pt>
                <c:pt idx="80">
                  <c:v>75.826666666666682</c:v>
                </c:pt>
                <c:pt idx="82">
                  <c:v>76.222222222222229</c:v>
                </c:pt>
                <c:pt idx="84">
                  <c:v>76.188405797101467</c:v>
                </c:pt>
                <c:pt idx="86">
                  <c:v>75.931818181818215</c:v>
                </c:pt>
                <c:pt idx="88">
                  <c:v>75.7777777777778</c:v>
                </c:pt>
                <c:pt idx="93">
                  <c:v>76.018018018018026</c:v>
                </c:pt>
                <c:pt idx="94">
                  <c:v>76.370370370370381</c:v>
                </c:pt>
                <c:pt idx="95">
                  <c:v>76.095238095238102</c:v>
                </c:pt>
                <c:pt idx="97">
                  <c:v>75.535353535353536</c:v>
                </c:pt>
                <c:pt idx="99">
                  <c:v>76.032258064516114</c:v>
                </c:pt>
                <c:pt idx="100">
                  <c:v>75.933333333333323</c:v>
                </c:pt>
                <c:pt idx="101">
                  <c:v>75.908045977011469</c:v>
                </c:pt>
                <c:pt idx="109">
                  <c:v>75.460317460317455</c:v>
                </c:pt>
                <c:pt idx="110">
                  <c:v>75.25</c:v>
                </c:pt>
                <c:pt idx="111">
                  <c:v>75.543859649122808</c:v>
                </c:pt>
                <c:pt idx="113">
                  <c:v>76.098039215686285</c:v>
                </c:pt>
                <c:pt idx="115">
                  <c:v>74.488888888888894</c:v>
                </c:pt>
                <c:pt idx="116">
                  <c:v>73.952380952380949</c:v>
                </c:pt>
                <c:pt idx="117">
                  <c:v>74.84615384615384</c:v>
                </c:pt>
                <c:pt idx="120">
                  <c:v>74.599999999999994</c:v>
                </c:pt>
                <c:pt idx="121">
                  <c:v>75.074074074074076</c:v>
                </c:pt>
                <c:pt idx="122">
                  <c:v>74.083333333333314</c:v>
                </c:pt>
                <c:pt idx="126">
                  <c:v>77.5</c:v>
                </c:pt>
                <c:pt idx="127">
                  <c:v>77.444444444444457</c:v>
                </c:pt>
                <c:pt idx="128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1-4492-8DF8-73B578B54AB5}"/>
            </c:ext>
          </c:extLst>
        </c:ser>
        <c:ser>
          <c:idx val="1"/>
          <c:order val="1"/>
          <c:tx>
            <c:strRef>
              <c:f>'Sheet 2'!$L$1:$L$2</c:f>
              <c:strCache>
                <c:ptCount val="1"/>
                <c:pt idx="0">
                  <c:v>Male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E771-4A16-A9EC-066E278FF5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E771-4A16-A9EC-066E278FF5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E771-4A16-A9EC-066E278FF5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E771-4A16-A9EC-066E278FF5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E771-4A16-A9EC-066E278FF5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E771-4A16-A9EC-066E278FF5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E771-4A16-A9EC-066E278FF5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E771-4A16-A9EC-066E278FF5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E771-4A16-A9EC-066E278FF57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E771-4A16-A9EC-066E278FF57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E771-4A16-A9EC-066E278FF57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E771-4A16-A9EC-066E278FF57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E771-4A16-A9EC-066E278FF57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E771-4A16-A9EC-066E278FF5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E771-4A16-A9EC-066E278FF57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E771-4A16-A9EC-066E278FF57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E771-4A16-A9EC-066E278FF57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E771-4A16-A9EC-066E278FF57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E771-4A16-A9EC-066E278FF57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E771-4A16-A9EC-066E278FF57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E771-4A16-A9EC-066E278FF57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E771-4A16-A9EC-066E278FF57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E771-4A16-A9EC-066E278FF57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E771-4A16-A9EC-066E278FF57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E771-4A16-A9EC-066E278FF57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E771-4A16-A9EC-066E278FF57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E771-4A16-A9EC-066E278FF57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E771-4A16-A9EC-066E278FF57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E771-4A16-A9EC-066E278FF57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E771-4A16-A9EC-066E278FF57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E771-4A16-A9EC-066E278FF57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E771-4A16-A9EC-066E278FF57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E771-4A16-A9EC-066E278FF57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E771-4A16-A9EC-066E278FF57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E771-4A16-A9EC-066E278FF57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E771-4A16-A9EC-066E278FF57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E771-4A16-A9EC-066E278FF57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E771-4A16-A9EC-066E278FF57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E771-4A16-A9EC-066E278FF57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E771-4A16-A9EC-066E278FF57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E771-4A16-A9EC-066E278FF57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E771-4A16-A9EC-066E278FF57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E771-4A16-A9EC-066E278FF57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E771-4A16-A9EC-066E278FF57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E771-4A16-A9EC-066E278FF57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E771-4A16-A9EC-066E278FF57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E771-4A16-A9EC-066E278FF57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E771-4A16-A9EC-066E278FF57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E771-4A16-A9EC-066E278FF57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E771-4A16-A9EC-066E278FF578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E771-4A16-A9EC-066E278FF578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E771-4A16-A9EC-066E278FF578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E771-4A16-A9EC-066E278FF578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E771-4A16-A9EC-066E278FF578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E771-4A16-A9EC-066E278FF578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E771-4A16-A9EC-066E278FF578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E771-4A16-A9EC-066E278FF578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E771-4A16-A9EC-066E278FF578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E771-4A16-A9EC-066E278FF578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E771-4A16-A9EC-066E278FF578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E771-4A16-A9EC-066E278FF578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E771-4A16-A9EC-066E278FF578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E771-4A16-A9EC-066E278FF578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E771-4A16-A9EC-066E278FF578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E771-4A16-A9EC-066E278FF578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E771-4A16-A9EC-066E278FF578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E771-4A16-A9EC-066E278FF578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E771-4A16-A9EC-066E278FF578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E771-4A16-A9EC-066E278FF578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E771-4A16-A9EC-066E278FF578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E771-4A16-A9EC-066E278FF578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E771-4A16-A9EC-066E278FF578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E771-4A16-A9EC-066E278FF578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E771-4A16-A9EC-066E278FF578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E771-4A16-A9EC-066E278FF578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E771-4A16-A9EC-066E278FF578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E771-4A16-A9EC-066E278FF578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E771-4A16-A9EC-066E278FF578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E771-4A16-A9EC-066E278FF578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E771-4A16-A9EC-066E278FF578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E771-4A16-A9EC-066E278FF578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E771-4A16-A9EC-066E278FF578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E771-4A16-A9EC-066E278FF578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E771-4A16-A9EC-066E278FF578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E771-4A16-A9EC-066E278FF578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E771-4A16-A9EC-066E278FF578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E771-4A16-A9EC-066E278FF578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E771-4A16-A9EC-066E278FF578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E771-4A16-A9EC-066E278FF578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E771-4A16-A9EC-066E278FF578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E771-4A16-A9EC-066E278FF578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E771-4A16-A9EC-066E278FF578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E771-4A16-A9EC-066E278FF578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E771-4A16-A9EC-066E278FF578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E771-4A16-A9EC-066E278FF578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E771-4A16-A9EC-066E278FF578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E771-4A16-A9EC-066E278FF578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E771-4A16-A9EC-066E278FF578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E771-4A16-A9EC-066E278FF578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E771-4A16-A9EC-066E278FF578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E771-4A16-A9EC-066E278FF578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E771-4A16-A9EC-066E278FF578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E771-4A16-A9EC-066E278FF578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E771-4A16-A9EC-066E278FF578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E771-4A16-A9EC-066E278FF578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E771-4A16-A9EC-066E278FF578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E771-4A16-A9EC-066E278FF578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E771-4A16-A9EC-066E278FF578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E771-4A16-A9EC-066E278FF578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E771-4A16-A9EC-066E278FF578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E771-4A16-A9EC-066E278FF578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E771-4A16-A9EC-066E278FF578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E771-4A16-A9EC-066E278FF578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E771-4A16-A9EC-066E278FF578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E771-4A16-A9EC-066E278FF578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E771-4A16-A9EC-066E278FF578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E771-4A16-A9EC-066E278FF578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E771-4A16-A9EC-066E278FF578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E771-4A16-A9EC-066E278FF578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E771-4A16-A9EC-066E278FF578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E771-4A16-A9EC-066E278FF578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E771-4A16-A9EC-066E278FF578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E771-4A16-A9EC-066E278FF578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E771-4A16-A9EC-066E278FF578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E771-4A16-A9EC-066E278FF57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E771-4A16-A9EC-066E278FF57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E771-4A16-A9EC-066E278FF57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E771-4A16-A9EC-066E278FF57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E771-4A16-A9EC-066E278FF57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E771-4A16-A9EC-066E278FF57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E771-4A16-A9EC-066E278FF578}"/>
              </c:ext>
            </c:extLst>
          </c:dPt>
          <c:cat>
            <c:strRef>
              <c:f>'Sheet 2'!$J$3:$J$133</c:f>
              <c:strCache>
                <c:ptCount val="1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  <c:pt idx="30">
                  <c:v>S031</c:v>
                </c:pt>
                <c:pt idx="31">
                  <c:v>S032</c:v>
                </c:pt>
                <c:pt idx="32">
                  <c:v>S033</c:v>
                </c:pt>
                <c:pt idx="33">
                  <c:v>S034</c:v>
                </c:pt>
                <c:pt idx="34">
                  <c:v>S035</c:v>
                </c:pt>
                <c:pt idx="35">
                  <c:v>S036</c:v>
                </c:pt>
                <c:pt idx="36">
                  <c:v>S037</c:v>
                </c:pt>
                <c:pt idx="37">
                  <c:v>S038</c:v>
                </c:pt>
                <c:pt idx="38">
                  <c:v>S039</c:v>
                </c:pt>
                <c:pt idx="39">
                  <c:v>S040</c:v>
                </c:pt>
                <c:pt idx="40">
                  <c:v>S041</c:v>
                </c:pt>
                <c:pt idx="41">
                  <c:v>S042</c:v>
                </c:pt>
                <c:pt idx="42">
                  <c:v>S043</c:v>
                </c:pt>
                <c:pt idx="43">
                  <c:v>S044</c:v>
                </c:pt>
                <c:pt idx="44">
                  <c:v>S045</c:v>
                </c:pt>
                <c:pt idx="45">
                  <c:v>S046</c:v>
                </c:pt>
                <c:pt idx="46">
                  <c:v>S047</c:v>
                </c:pt>
                <c:pt idx="47">
                  <c:v>S048</c:v>
                </c:pt>
                <c:pt idx="48">
                  <c:v>S049</c:v>
                </c:pt>
                <c:pt idx="49">
                  <c:v>S050</c:v>
                </c:pt>
                <c:pt idx="50">
                  <c:v>S051</c:v>
                </c:pt>
                <c:pt idx="51">
                  <c:v>S052</c:v>
                </c:pt>
                <c:pt idx="52">
                  <c:v>S053</c:v>
                </c:pt>
                <c:pt idx="53">
                  <c:v>S054</c:v>
                </c:pt>
                <c:pt idx="54">
                  <c:v>S055</c:v>
                </c:pt>
                <c:pt idx="55">
                  <c:v>S056</c:v>
                </c:pt>
                <c:pt idx="56">
                  <c:v>S057</c:v>
                </c:pt>
                <c:pt idx="57">
                  <c:v>S058</c:v>
                </c:pt>
                <c:pt idx="58">
                  <c:v>S059</c:v>
                </c:pt>
                <c:pt idx="59">
                  <c:v>S060</c:v>
                </c:pt>
                <c:pt idx="60">
                  <c:v>S061</c:v>
                </c:pt>
                <c:pt idx="61">
                  <c:v>S062</c:v>
                </c:pt>
                <c:pt idx="62">
                  <c:v>S063</c:v>
                </c:pt>
                <c:pt idx="63">
                  <c:v>S064</c:v>
                </c:pt>
                <c:pt idx="64">
                  <c:v>S065</c:v>
                </c:pt>
                <c:pt idx="65">
                  <c:v>S066</c:v>
                </c:pt>
                <c:pt idx="66">
                  <c:v>S067</c:v>
                </c:pt>
                <c:pt idx="67">
                  <c:v>S068</c:v>
                </c:pt>
                <c:pt idx="68">
                  <c:v>S069</c:v>
                </c:pt>
                <c:pt idx="69">
                  <c:v>S070</c:v>
                </c:pt>
                <c:pt idx="70">
                  <c:v>S071</c:v>
                </c:pt>
                <c:pt idx="71">
                  <c:v>S072</c:v>
                </c:pt>
                <c:pt idx="72">
                  <c:v>S073</c:v>
                </c:pt>
                <c:pt idx="73">
                  <c:v>S074</c:v>
                </c:pt>
                <c:pt idx="74">
                  <c:v>S075</c:v>
                </c:pt>
                <c:pt idx="75">
                  <c:v>S076</c:v>
                </c:pt>
                <c:pt idx="76">
                  <c:v>S077</c:v>
                </c:pt>
                <c:pt idx="77">
                  <c:v>S078</c:v>
                </c:pt>
                <c:pt idx="78">
                  <c:v>S079</c:v>
                </c:pt>
                <c:pt idx="79">
                  <c:v>S080</c:v>
                </c:pt>
                <c:pt idx="80">
                  <c:v>S081</c:v>
                </c:pt>
                <c:pt idx="81">
                  <c:v>S082</c:v>
                </c:pt>
                <c:pt idx="82">
                  <c:v>S083</c:v>
                </c:pt>
                <c:pt idx="83">
                  <c:v>S084</c:v>
                </c:pt>
                <c:pt idx="84">
                  <c:v>S085</c:v>
                </c:pt>
                <c:pt idx="85">
                  <c:v>S086</c:v>
                </c:pt>
                <c:pt idx="86">
                  <c:v>S087</c:v>
                </c:pt>
                <c:pt idx="87">
                  <c:v>S088</c:v>
                </c:pt>
                <c:pt idx="88">
                  <c:v>S089</c:v>
                </c:pt>
                <c:pt idx="89">
                  <c:v>S090</c:v>
                </c:pt>
                <c:pt idx="90">
                  <c:v>S091</c:v>
                </c:pt>
                <c:pt idx="91">
                  <c:v>S092</c:v>
                </c:pt>
                <c:pt idx="92">
                  <c:v>S093</c:v>
                </c:pt>
                <c:pt idx="93">
                  <c:v>S094</c:v>
                </c:pt>
                <c:pt idx="94">
                  <c:v>S095</c:v>
                </c:pt>
                <c:pt idx="95">
                  <c:v>S096</c:v>
                </c:pt>
                <c:pt idx="96">
                  <c:v>S097</c:v>
                </c:pt>
                <c:pt idx="97">
                  <c:v>S098</c:v>
                </c:pt>
                <c:pt idx="98">
                  <c:v>S099</c:v>
                </c:pt>
                <c:pt idx="99">
                  <c:v>S100</c:v>
                </c:pt>
                <c:pt idx="100">
                  <c:v>S101</c:v>
                </c:pt>
                <c:pt idx="101">
                  <c:v>S102</c:v>
                </c:pt>
                <c:pt idx="102">
                  <c:v>S103</c:v>
                </c:pt>
                <c:pt idx="103">
                  <c:v>S104</c:v>
                </c:pt>
                <c:pt idx="104">
                  <c:v>S105</c:v>
                </c:pt>
                <c:pt idx="105">
                  <c:v>S106</c:v>
                </c:pt>
                <c:pt idx="106">
                  <c:v>S107</c:v>
                </c:pt>
                <c:pt idx="107">
                  <c:v>S108</c:v>
                </c:pt>
                <c:pt idx="108">
                  <c:v>S109</c:v>
                </c:pt>
                <c:pt idx="109">
                  <c:v>S110</c:v>
                </c:pt>
                <c:pt idx="110">
                  <c:v>S111</c:v>
                </c:pt>
                <c:pt idx="111">
                  <c:v>S112</c:v>
                </c:pt>
                <c:pt idx="112">
                  <c:v>S113</c:v>
                </c:pt>
                <c:pt idx="113">
                  <c:v>S114</c:v>
                </c:pt>
                <c:pt idx="114">
                  <c:v>S115</c:v>
                </c:pt>
                <c:pt idx="115">
                  <c:v>S116</c:v>
                </c:pt>
                <c:pt idx="116">
                  <c:v>S117</c:v>
                </c:pt>
                <c:pt idx="117">
                  <c:v>S118</c:v>
                </c:pt>
                <c:pt idx="118">
                  <c:v>S119</c:v>
                </c:pt>
                <c:pt idx="119">
                  <c:v>S120</c:v>
                </c:pt>
                <c:pt idx="120">
                  <c:v>S121</c:v>
                </c:pt>
                <c:pt idx="121">
                  <c:v>S122</c:v>
                </c:pt>
                <c:pt idx="122">
                  <c:v>S123</c:v>
                </c:pt>
                <c:pt idx="123">
                  <c:v>S124</c:v>
                </c:pt>
                <c:pt idx="124">
                  <c:v>S125</c:v>
                </c:pt>
                <c:pt idx="125">
                  <c:v>S126</c:v>
                </c:pt>
                <c:pt idx="126">
                  <c:v>S127</c:v>
                </c:pt>
                <c:pt idx="127">
                  <c:v>S128</c:v>
                </c:pt>
                <c:pt idx="128">
                  <c:v>S129</c:v>
                </c:pt>
                <c:pt idx="129">
                  <c:v>S130</c:v>
                </c:pt>
              </c:strCache>
            </c:strRef>
          </c:cat>
          <c:val>
            <c:numRef>
              <c:f>'Sheet 2'!$L$3:$L$133</c:f>
              <c:numCache>
                <c:formatCode>General</c:formatCode>
                <c:ptCount val="130"/>
                <c:pt idx="0">
                  <c:v>75.56153846153849</c:v>
                </c:pt>
                <c:pt idx="1">
                  <c:v>75.459948320413474</c:v>
                </c:pt>
                <c:pt idx="3">
                  <c:v>75.482939632545978</c:v>
                </c:pt>
                <c:pt idx="6">
                  <c:v>75.432795698924764</c:v>
                </c:pt>
                <c:pt idx="8">
                  <c:v>75.549180327868896</c:v>
                </c:pt>
                <c:pt idx="9">
                  <c:v>75.567493112947702</c:v>
                </c:pt>
                <c:pt idx="12">
                  <c:v>75.361581920903987</c:v>
                </c:pt>
                <c:pt idx="15">
                  <c:v>75.463768115942045</c:v>
                </c:pt>
                <c:pt idx="16">
                  <c:v>75.538011695906448</c:v>
                </c:pt>
                <c:pt idx="17">
                  <c:v>75.519174041297958</c:v>
                </c:pt>
                <c:pt idx="21">
                  <c:v>75.672782874617752</c:v>
                </c:pt>
                <c:pt idx="23">
                  <c:v>75.713395638629294</c:v>
                </c:pt>
                <c:pt idx="25">
                  <c:v>75.75238095238096</c:v>
                </c:pt>
                <c:pt idx="27">
                  <c:v>75.699029126213617</c:v>
                </c:pt>
                <c:pt idx="29">
                  <c:v>75.75907590759077</c:v>
                </c:pt>
                <c:pt idx="31">
                  <c:v>75.71380471380472</c:v>
                </c:pt>
                <c:pt idx="32">
                  <c:v>75.656462585034021</c:v>
                </c:pt>
                <c:pt idx="34">
                  <c:v>75.7013888888889</c:v>
                </c:pt>
                <c:pt idx="35">
                  <c:v>75.740350877192995</c:v>
                </c:pt>
                <c:pt idx="37">
                  <c:v>75.648745519713259</c:v>
                </c:pt>
                <c:pt idx="44">
                  <c:v>75.833333333333314</c:v>
                </c:pt>
                <c:pt idx="45">
                  <c:v>75.88235294117645</c:v>
                </c:pt>
                <c:pt idx="46">
                  <c:v>75.968253968253947</c:v>
                </c:pt>
                <c:pt idx="47">
                  <c:v>75.891566265060234</c:v>
                </c:pt>
                <c:pt idx="48">
                  <c:v>75.760162601626007</c:v>
                </c:pt>
                <c:pt idx="52">
                  <c:v>75.53418803418802</c:v>
                </c:pt>
                <c:pt idx="53">
                  <c:v>75.497835497835482</c:v>
                </c:pt>
                <c:pt idx="55">
                  <c:v>75.386666666666642</c:v>
                </c:pt>
                <c:pt idx="56">
                  <c:v>75.454954954954928</c:v>
                </c:pt>
                <c:pt idx="61">
                  <c:v>75.256038647342962</c:v>
                </c:pt>
                <c:pt idx="62">
                  <c:v>75.328431372548991</c:v>
                </c:pt>
                <c:pt idx="63">
                  <c:v>75.273631840796</c:v>
                </c:pt>
                <c:pt idx="66">
                  <c:v>75.296874999999986</c:v>
                </c:pt>
                <c:pt idx="69">
                  <c:v>75.224043715846989</c:v>
                </c:pt>
                <c:pt idx="70">
                  <c:v>75.072222222222223</c:v>
                </c:pt>
                <c:pt idx="72">
                  <c:v>75.189655172413794</c:v>
                </c:pt>
                <c:pt idx="75">
                  <c:v>75.042424242424246</c:v>
                </c:pt>
                <c:pt idx="77">
                  <c:v>75.578616352201266</c:v>
                </c:pt>
                <c:pt idx="79">
                  <c:v>75.562091503267993</c:v>
                </c:pt>
                <c:pt idx="81">
                  <c:v>75.863945578231309</c:v>
                </c:pt>
                <c:pt idx="83">
                  <c:v>76.198581560283699</c:v>
                </c:pt>
                <c:pt idx="85">
                  <c:v>76.148148148148167</c:v>
                </c:pt>
                <c:pt idx="87">
                  <c:v>75.99224806201552</c:v>
                </c:pt>
                <c:pt idx="89">
                  <c:v>75.699186991869936</c:v>
                </c:pt>
                <c:pt idx="90">
                  <c:v>75.550000000000011</c:v>
                </c:pt>
                <c:pt idx="91">
                  <c:v>75.521367521367537</c:v>
                </c:pt>
                <c:pt idx="92">
                  <c:v>75.675438596491233</c:v>
                </c:pt>
                <c:pt idx="96">
                  <c:v>75.833333333333329</c:v>
                </c:pt>
                <c:pt idx="98">
                  <c:v>75.999999999999986</c:v>
                </c:pt>
                <c:pt idx="102">
                  <c:v>75.607142857142847</c:v>
                </c:pt>
                <c:pt idx="103">
                  <c:v>75.419753086419746</c:v>
                </c:pt>
                <c:pt idx="104">
                  <c:v>75.089743589743577</c:v>
                </c:pt>
                <c:pt idx="105">
                  <c:v>74.946666666666658</c:v>
                </c:pt>
                <c:pt idx="106">
                  <c:v>75.125</c:v>
                </c:pt>
                <c:pt idx="107">
                  <c:v>75.159420289855063</c:v>
                </c:pt>
                <c:pt idx="108">
                  <c:v>75.166666666666657</c:v>
                </c:pt>
                <c:pt idx="112">
                  <c:v>75.796296296296291</c:v>
                </c:pt>
                <c:pt idx="114">
                  <c:v>75.229166666666671</c:v>
                </c:pt>
                <c:pt idx="118">
                  <c:v>75.638888888888886</c:v>
                </c:pt>
                <c:pt idx="119">
                  <c:v>75.060606060606062</c:v>
                </c:pt>
                <c:pt idx="123">
                  <c:v>75.761904761904745</c:v>
                </c:pt>
                <c:pt idx="124">
                  <c:v>75.833333333333343</c:v>
                </c:pt>
                <c:pt idx="125">
                  <c:v>77.466666666666669</c:v>
                </c:pt>
                <c:pt idx="129">
                  <c:v>82.666666666666671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1-4492-8DF8-73B578B5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82191</xdr:colOff>
      <xdr:row>163</xdr:row>
      <xdr:rowOff>59897</xdr:rowOff>
    </xdr:from>
    <xdr:to>
      <xdr:col>12</xdr:col>
      <xdr:colOff>96211</xdr:colOff>
      <xdr:row>182</xdr:row>
      <xdr:rowOff>108581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2179B6-7E5F-5CC4-E4A5-8E49CAA5A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548408</xdr:colOff>
      <xdr:row>134</xdr:row>
      <xdr:rowOff>143742</xdr:rowOff>
    </xdr:from>
    <xdr:to>
      <xdr:col>12</xdr:col>
      <xdr:colOff>793749</xdr:colOff>
      <xdr:row>149</xdr:row>
      <xdr:rowOff>72737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CA1B45-CD08-C2C7-7D1F-22F26818F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51954</xdr:colOff>
      <xdr:row>0</xdr:row>
      <xdr:rowOff>0</xdr:rowOff>
    </xdr:from>
    <xdr:to>
      <xdr:col>20</xdr:col>
      <xdr:colOff>381000</xdr:colOff>
      <xdr:row>14</xdr:row>
      <xdr:rowOff>116609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FDEC0-FBA9-0A95-5AD7-60CBAF91A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&amp; Nandini" refreshedDate="46064.747072569444" createdVersion="8" refreshedVersion="8" minRefreshableVersion="3" recordCount="130" xr:uid="{4536D8E1-524C-473A-9252-BE2F5AAAFC67}">
  <cacheSource type="worksheet">
    <worksheetSource ref="A1:P131" sheet="Sheet1"/>
  </cacheSource>
  <cacheFields count="16">
    <cacheField name="Student ID" numFmtId="0">
      <sharedItems count="13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</sharedItems>
    </cacheField>
    <cacheField name="Gender " numFmtId="0">
      <sharedItems count="2">
        <s v="Male "/>
        <s v="Female "/>
      </sharedItems>
    </cacheField>
    <cacheField name="Class/ Section " numFmtId="0">
      <sharedItems count="5">
        <s v="Group B "/>
        <s v="Group D "/>
        <s v="Group C"/>
        <s v="Group A "/>
        <s v="Group E "/>
      </sharedItems>
    </cacheField>
    <cacheField name="Attendance " numFmtId="9">
      <sharedItems containsSemiMixedTypes="0" containsString="0" containsNumber="1" minValue="0.21" maxValue="0.99"/>
    </cacheField>
    <cacheField name="Education " numFmtId="0">
      <sharedItems count="5">
        <s v="High School "/>
        <s v="Bachelor's Degree"/>
        <s v="Associate's Degree"/>
        <s v="Master's Degree"/>
        <s v="Some College "/>
      </sharedItems>
    </cacheField>
    <cacheField name="Exam Term " numFmtId="0">
      <sharedItems count="2">
        <s v="Completed "/>
        <s v="Incomplete"/>
      </sharedItems>
    </cacheField>
    <cacheField name="Maths " numFmtId="0">
      <sharedItems containsSemiMixedTypes="0" containsString="0" containsNumber="1" containsInteger="1" minValue="32" maxValue="99"/>
    </cacheField>
    <cacheField name="English " numFmtId="0">
      <sharedItems containsSemiMixedTypes="0" containsString="0" containsNumber="1" containsInteger="1" minValue="32" maxValue="99"/>
    </cacheField>
    <cacheField name="Science" numFmtId="0">
      <sharedItems containsSemiMixedTypes="0" containsString="0" containsNumber="1" containsInteger="1" minValue="43" maxValue="99"/>
    </cacheField>
    <cacheField name="Marks Obtained " numFmtId="0">
      <sharedItems containsSemiMixedTypes="0" containsString="0" containsNumber="1" containsInteger="1" minValue="164" maxValue="287"/>
    </cacheField>
    <cacheField name="Maximum Marks " numFmtId="0">
      <sharedItems containsSemiMixedTypes="0" containsString="0" containsNumber="1" containsInteger="1" minValue="300" maxValue="300"/>
    </cacheField>
    <cacheField name="Percentage " numFmtId="0">
      <sharedItems containsSemiMixedTypes="0" containsString="0" containsNumber="1" minValue="54.666666666666664" maxValue="95.666666666666671"/>
    </cacheField>
    <cacheField name="Grade  " numFmtId="0">
      <sharedItems count="5">
        <s v="B"/>
        <s v="D"/>
        <s v="C"/>
        <s v="A"/>
        <s v="F"/>
      </sharedItems>
    </cacheField>
    <cacheField name="Result " numFmtId="0">
      <sharedItems count="2">
        <s v="Pass"/>
        <s v="Fail"/>
      </sharedItems>
    </cacheField>
    <cacheField name="Rank " numFmtId="0">
      <sharedItems containsSemiMixedTypes="0" containsString="0" containsNumber="1" containsInteger="1" minValue="1" maxValue="117" count="63">
        <n v="4"/>
        <n v="117"/>
        <n v="18"/>
        <n v="46"/>
        <n v="73"/>
        <n v="34"/>
        <n v="115"/>
        <n v="74"/>
        <n v="45"/>
        <n v="1"/>
        <n v="52"/>
        <n v="87"/>
        <n v="109"/>
        <n v="31"/>
        <n v="101"/>
        <n v="47"/>
        <n v="102"/>
        <n v="93"/>
        <n v="99"/>
        <n v="16"/>
        <n v="17"/>
        <n v="100"/>
        <n v="82"/>
        <n v="3"/>
        <n v="53"/>
        <n v="84"/>
        <n v="33"/>
        <n v="25"/>
        <n v="59"/>
        <n v="62"/>
        <n v="64"/>
        <n v="27"/>
        <n v="28"/>
        <n v="48"/>
        <n v="35"/>
        <n v="63"/>
        <n v="51"/>
        <n v="58"/>
        <n v="72"/>
        <n v="19"/>
        <n v="42"/>
        <n v="43"/>
        <n v="49"/>
        <n v="32"/>
        <n v="15"/>
        <n v="36"/>
        <n v="56"/>
        <n v="13"/>
        <n v="20"/>
        <n v="24"/>
        <n v="8"/>
        <n v="38"/>
        <n v="54"/>
        <n v="22"/>
        <n v="29"/>
        <n v="5"/>
        <n v="12"/>
        <n v="30"/>
        <n v="9"/>
        <n v="14"/>
        <n v="7"/>
        <n v="6"/>
        <n v="2"/>
      </sharedItems>
    </cacheField>
    <cacheField name="Average " numFmtId="0">
      <sharedItems containsSemiMixedTypes="0" containsString="0" containsNumber="1" minValue="73.952380952380949" maxValue="82.666666666666671" count="130">
        <n v="75.56153846153849"/>
        <n v="75.459948320413474"/>
        <n v="75.544270833333371"/>
        <n v="75.482939632545978"/>
        <n v="75.460317460317498"/>
        <n v="75.472000000000037"/>
        <n v="75.432795698924764"/>
        <n v="75.531165311653169"/>
        <n v="75.549180327868896"/>
        <n v="75.567493112947702"/>
        <n v="75.544444444444466"/>
        <n v="75.375350140056057"/>
        <n v="75.361581920903987"/>
        <n v="75.404558404558443"/>
        <n v="75.508620689655203"/>
        <n v="75.463768115942045"/>
        <n v="75.538011695906448"/>
        <n v="75.519174041297958"/>
        <n v="75.60714285714289"/>
        <n v="75.666666666666686"/>
        <n v="75.745454545454564"/>
        <n v="75.672782874617752"/>
        <n v="75.604938271604951"/>
        <n v="75.713395638629294"/>
        <n v="75.817610062893095"/>
        <n v="75.75238095238096"/>
        <n v="75.804487179487197"/>
        <n v="75.699029126213617"/>
        <n v="75.699346405228766"/>
        <n v="75.75907590759077"/>
        <n v="75.746666666666684"/>
        <n v="75.71380471380472"/>
        <n v="75.656462585034021"/>
        <n v="75.673539518900355"/>
        <n v="75.7013888888889"/>
        <n v="75.740350877192995"/>
        <n v="75.691489361702125"/>
        <n v="75.648745519713259"/>
        <n v="75.65217391304347"/>
        <n v="75.622710622710628"/>
        <n v="75.637037037037032"/>
        <n v="75.677902621722836"/>
        <n v="75.731060606060609"/>
        <n v="75.743295019157088"/>
        <n v="75.833333333333314"/>
        <n v="75.88235294117645"/>
        <n v="75.968253968253947"/>
        <n v="75.891566265060234"/>
        <n v="75.760162601626007"/>
        <n v="75.514403292181058"/>
        <n v="75.504166666666649"/>
        <n v="75.506329113924025"/>
        <n v="75.53418803418802"/>
        <n v="75.497835497835482"/>
        <n v="75.403508771929808"/>
        <n v="75.386666666666642"/>
        <n v="75.454954954954928"/>
        <n v="75.465753424657507"/>
        <n v="75.499999999999972"/>
        <n v="75.389671361502309"/>
        <n v="75.309523809523782"/>
        <n v="75.256038647342962"/>
        <n v="75.328431372548991"/>
        <n v="75.273631840796"/>
        <n v="75.328282828282823"/>
        <n v="75.220512820512795"/>
        <n v="75.296874999999986"/>
        <n v="75.412698412698404"/>
        <n v="75.397849462365585"/>
        <n v="75.224043715846989"/>
        <n v="75.072222222222223"/>
        <n v="75.146892655367239"/>
        <n v="75.189655172413794"/>
        <n v="75.076023391812853"/>
        <n v="74.910714285714306"/>
        <n v="75.042424242424246"/>
        <n v="75.191358024691354"/>
        <n v="75.578616352201266"/>
        <n v="75.65384615384616"/>
        <n v="75.562091503267993"/>
        <n v="75.826666666666682"/>
        <n v="75.863945578231309"/>
        <n v="76.222222222222229"/>
        <n v="76.198581560283699"/>
        <n v="76.188405797101467"/>
        <n v="76.148148148148167"/>
        <n v="75.931818181818215"/>
        <n v="75.99224806201552"/>
        <n v="75.7777777777778"/>
        <n v="75.699186991869936"/>
        <n v="75.550000000000011"/>
        <n v="75.521367521367537"/>
        <n v="75.675438596491233"/>
        <n v="76.018018018018026"/>
        <n v="76.370370370370381"/>
        <n v="76.095238095238102"/>
        <n v="75.833333333333329"/>
        <n v="75.535353535353536"/>
        <n v="75.999999999999986"/>
        <n v="76.032258064516114"/>
        <n v="75.933333333333323"/>
        <n v="75.908045977011469"/>
        <n v="75.607142857142847"/>
        <n v="75.419753086419746"/>
        <n v="75.089743589743577"/>
        <n v="74.946666666666658"/>
        <n v="75.125"/>
        <n v="75.159420289855063"/>
        <n v="75.166666666666657"/>
        <n v="75.460317460317455"/>
        <n v="75.25"/>
        <n v="75.543859649122808"/>
        <n v="75.796296296296291"/>
        <n v="76.098039215686285"/>
        <n v="75.229166666666671"/>
        <n v="74.488888888888894"/>
        <n v="73.952380952380949"/>
        <n v="74.84615384615384"/>
        <n v="75.638888888888886"/>
        <n v="75.060606060606062"/>
        <n v="74.599999999999994"/>
        <n v="75.074074074074076"/>
        <n v="74.083333333333314"/>
        <n v="75.761904761904745"/>
        <n v="75.833333333333343"/>
        <n v="77.466666666666669"/>
        <n v="77.5"/>
        <n v="77.444444444444457"/>
        <n v="77"/>
        <n v="82.6666666666666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  <n v="0.75"/>
    <x v="0"/>
    <x v="0"/>
    <n v="77"/>
    <n v="99"/>
    <n v="90"/>
    <n v="266"/>
    <n v="300"/>
    <n v="88.666666666666671"/>
    <x v="0"/>
    <x v="0"/>
    <x v="0"/>
    <x v="0"/>
  </r>
  <r>
    <x v="1"/>
    <x v="0"/>
    <x v="1"/>
    <n v="0.88"/>
    <x v="1"/>
    <x v="1"/>
    <n v="57"/>
    <n v="68"/>
    <n v="69"/>
    <n v="194"/>
    <n v="300"/>
    <n v="64.666666666666657"/>
    <x v="1"/>
    <x v="0"/>
    <x v="1"/>
    <x v="1"/>
  </r>
  <r>
    <x v="2"/>
    <x v="1"/>
    <x v="2"/>
    <n v="0.92"/>
    <x v="2"/>
    <x v="0"/>
    <n v="98"/>
    <n v="73"/>
    <n v="79"/>
    <n v="250"/>
    <n v="300"/>
    <n v="83.333333333333343"/>
    <x v="0"/>
    <x v="0"/>
    <x v="2"/>
    <x v="2"/>
  </r>
  <r>
    <x v="3"/>
    <x v="0"/>
    <x v="1"/>
    <n v="0.35"/>
    <x v="0"/>
    <x v="1"/>
    <n v="88"/>
    <n v="79"/>
    <n v="68"/>
    <n v="235"/>
    <n v="300"/>
    <n v="78.333333333333329"/>
    <x v="2"/>
    <x v="0"/>
    <x v="3"/>
    <x v="3"/>
  </r>
  <r>
    <x v="4"/>
    <x v="1"/>
    <x v="0"/>
    <n v="0.46"/>
    <x v="3"/>
    <x v="0"/>
    <n v="69"/>
    <n v="69"/>
    <n v="84"/>
    <n v="222"/>
    <n v="300"/>
    <n v="74"/>
    <x v="2"/>
    <x v="0"/>
    <x v="4"/>
    <x v="4"/>
  </r>
  <r>
    <x v="5"/>
    <x v="1"/>
    <x v="3"/>
    <n v="0.9"/>
    <x v="1"/>
    <x v="1"/>
    <n v="73"/>
    <n v="77"/>
    <n v="91"/>
    <n v="241"/>
    <n v="300"/>
    <n v="80.333333333333329"/>
    <x v="0"/>
    <x v="0"/>
    <x v="5"/>
    <x v="5"/>
  </r>
  <r>
    <x v="6"/>
    <x v="0"/>
    <x v="2"/>
    <n v="0.21"/>
    <x v="4"/>
    <x v="0"/>
    <n v="32"/>
    <n v="88"/>
    <n v="70"/>
    <n v="190"/>
    <n v="300"/>
    <n v="63.333333333333329"/>
    <x v="1"/>
    <x v="0"/>
    <x v="6"/>
    <x v="6"/>
  </r>
  <r>
    <x v="7"/>
    <x v="1"/>
    <x v="1"/>
    <n v="0.71"/>
    <x v="0"/>
    <x v="1"/>
    <n v="58"/>
    <n v="92"/>
    <n v="70"/>
    <n v="220"/>
    <n v="300"/>
    <n v="73.333333333333329"/>
    <x v="2"/>
    <x v="0"/>
    <x v="7"/>
    <x v="7"/>
  </r>
  <r>
    <x v="8"/>
    <x v="0"/>
    <x v="0"/>
    <n v="0.69"/>
    <x v="2"/>
    <x v="0"/>
    <n v="46"/>
    <n v="94"/>
    <n v="80"/>
    <n v="220"/>
    <n v="300"/>
    <n v="73.333333333333329"/>
    <x v="2"/>
    <x v="0"/>
    <x v="7"/>
    <x v="8"/>
  </r>
  <r>
    <x v="9"/>
    <x v="0"/>
    <x v="4"/>
    <n v="0.99"/>
    <x v="3"/>
    <x v="0"/>
    <n v="80"/>
    <n v="60"/>
    <n v="95"/>
    <n v="235"/>
    <n v="300"/>
    <n v="78.333333333333329"/>
    <x v="2"/>
    <x v="0"/>
    <x v="8"/>
    <x v="9"/>
  </r>
  <r>
    <x v="10"/>
    <x v="1"/>
    <x v="2"/>
    <n v="0.92"/>
    <x v="1"/>
    <x v="1"/>
    <n v="99"/>
    <n v="96"/>
    <n v="92"/>
    <n v="287"/>
    <n v="300"/>
    <n v="95.666666666666671"/>
    <x v="3"/>
    <x v="0"/>
    <x v="9"/>
    <x v="10"/>
  </r>
  <r>
    <x v="11"/>
    <x v="1"/>
    <x v="3"/>
    <n v="0.86"/>
    <x v="2"/>
    <x v="0"/>
    <n v="68"/>
    <n v="80"/>
    <n v="83"/>
    <n v="231"/>
    <n v="300"/>
    <n v="77"/>
    <x v="2"/>
    <x v="0"/>
    <x v="10"/>
    <x v="11"/>
  </r>
  <r>
    <x v="12"/>
    <x v="0"/>
    <x v="1"/>
    <n v="0.77"/>
    <x v="4"/>
    <x v="1"/>
    <n v="73"/>
    <n v="79"/>
    <n v="59"/>
    <n v="211"/>
    <n v="300"/>
    <n v="70.333333333333343"/>
    <x v="2"/>
    <x v="0"/>
    <x v="11"/>
    <x v="12"/>
  </r>
  <r>
    <x v="13"/>
    <x v="1"/>
    <x v="4"/>
    <n v="0.6"/>
    <x v="3"/>
    <x v="0"/>
    <n v="52"/>
    <n v="72"/>
    <n v="66"/>
    <n v="190"/>
    <n v="300"/>
    <n v="63.333333333333329"/>
    <x v="1"/>
    <x v="0"/>
    <x v="12"/>
    <x v="13"/>
  </r>
  <r>
    <x v="14"/>
    <x v="1"/>
    <x v="2"/>
    <n v="0.73"/>
    <x v="0"/>
    <x v="0"/>
    <n v="69"/>
    <n v="99"/>
    <n v="74"/>
    <n v="242"/>
    <n v="300"/>
    <n v="80.666666666666657"/>
    <x v="0"/>
    <x v="0"/>
    <x v="13"/>
    <x v="14"/>
  </r>
  <r>
    <x v="15"/>
    <x v="0"/>
    <x v="3"/>
    <n v="0.89"/>
    <x v="4"/>
    <x v="0"/>
    <n v="77"/>
    <n v="66"/>
    <n v="58"/>
    <n v="201"/>
    <n v="300"/>
    <n v="67"/>
    <x v="1"/>
    <x v="0"/>
    <x v="14"/>
    <x v="15"/>
  </r>
  <r>
    <x v="16"/>
    <x v="0"/>
    <x v="1"/>
    <n v="0.59"/>
    <x v="1"/>
    <x v="1"/>
    <n v="88"/>
    <n v="89"/>
    <n v="56"/>
    <n v="233"/>
    <n v="300"/>
    <n v="77.666666666666657"/>
    <x v="2"/>
    <x v="0"/>
    <x v="15"/>
    <x v="16"/>
  </r>
  <r>
    <x v="17"/>
    <x v="0"/>
    <x v="4"/>
    <n v="0.5"/>
    <x v="2"/>
    <x v="1"/>
    <n v="92"/>
    <n v="62"/>
    <n v="43"/>
    <n v="197"/>
    <n v="300"/>
    <n v="65.666666666666657"/>
    <x v="1"/>
    <x v="0"/>
    <x v="16"/>
    <x v="17"/>
  </r>
  <r>
    <x v="18"/>
    <x v="1"/>
    <x v="2"/>
    <n v="0.64"/>
    <x v="3"/>
    <x v="0"/>
    <n v="94"/>
    <n v="56"/>
    <n v="57"/>
    <n v="207"/>
    <n v="300"/>
    <n v="69"/>
    <x v="1"/>
    <x v="0"/>
    <x v="17"/>
    <x v="18"/>
  </r>
  <r>
    <x v="19"/>
    <x v="1"/>
    <x v="3"/>
    <n v="0.78"/>
    <x v="0"/>
    <x v="1"/>
    <n v="60"/>
    <n v="84"/>
    <n v="57"/>
    <n v="201"/>
    <n v="300"/>
    <n v="67"/>
    <x v="1"/>
    <x v="0"/>
    <x v="18"/>
    <x v="19"/>
  </r>
  <r>
    <x v="20"/>
    <x v="1"/>
    <x v="1"/>
    <n v="0.43"/>
    <x v="4"/>
    <x v="0"/>
    <n v="96"/>
    <n v="86"/>
    <n v="69"/>
    <n v="251"/>
    <n v="300"/>
    <n v="83.666666666666671"/>
    <x v="0"/>
    <x v="0"/>
    <x v="19"/>
    <x v="20"/>
  </r>
  <r>
    <x v="21"/>
    <x v="0"/>
    <x v="2"/>
    <n v="0.76"/>
    <x v="2"/>
    <x v="1"/>
    <n v="80"/>
    <n v="91"/>
    <n v="78"/>
    <n v="249"/>
    <n v="300"/>
    <n v="83"/>
    <x v="0"/>
    <x v="0"/>
    <x v="20"/>
    <x v="21"/>
  </r>
  <r>
    <x v="22"/>
    <x v="1"/>
    <x v="3"/>
    <n v="0.8"/>
    <x v="3"/>
    <x v="0"/>
    <n v="79"/>
    <n v="70"/>
    <n v="43"/>
    <n v="192"/>
    <n v="300"/>
    <n v="64"/>
    <x v="1"/>
    <x v="0"/>
    <x v="21"/>
    <x v="22"/>
  </r>
  <r>
    <x v="23"/>
    <x v="0"/>
    <x v="0"/>
    <n v="0.95"/>
    <x v="1"/>
    <x v="1"/>
    <n v="72"/>
    <n v="70"/>
    <n v="52"/>
    <n v="194"/>
    <n v="300"/>
    <n v="64.666666666666657"/>
    <x v="1"/>
    <x v="0"/>
    <x v="18"/>
    <x v="23"/>
  </r>
  <r>
    <x v="24"/>
    <x v="1"/>
    <x v="2"/>
    <n v="0.4"/>
    <x v="2"/>
    <x v="0"/>
    <n v="99"/>
    <n v="80"/>
    <n v="69"/>
    <n v="248"/>
    <n v="300"/>
    <n v="82.666666666666671"/>
    <x v="0"/>
    <x v="0"/>
    <x v="2"/>
    <x v="24"/>
  </r>
  <r>
    <x v="25"/>
    <x v="0"/>
    <x v="3"/>
    <n v="0.62"/>
    <x v="3"/>
    <x v="0"/>
    <n v="66"/>
    <n v="95"/>
    <n v="50"/>
    <n v="211"/>
    <n v="300"/>
    <n v="70.333333333333343"/>
    <x v="2"/>
    <x v="0"/>
    <x v="22"/>
    <x v="25"/>
  </r>
  <r>
    <x v="26"/>
    <x v="1"/>
    <x v="3"/>
    <n v="0.88"/>
    <x v="1"/>
    <x v="0"/>
    <n v="89"/>
    <n v="92"/>
    <n v="79"/>
    <n v="260"/>
    <n v="300"/>
    <n v="86.666666666666671"/>
    <x v="0"/>
    <x v="0"/>
    <x v="23"/>
    <x v="26"/>
  </r>
  <r>
    <x v="27"/>
    <x v="0"/>
    <x v="4"/>
    <n v="0.99"/>
    <x v="3"/>
    <x v="1"/>
    <n v="62"/>
    <n v="83"/>
    <n v="82"/>
    <n v="227"/>
    <n v="300"/>
    <n v="75.666666666666671"/>
    <x v="2"/>
    <x v="0"/>
    <x v="24"/>
    <x v="27"/>
  </r>
  <r>
    <x v="28"/>
    <x v="1"/>
    <x v="1"/>
    <n v="0.32"/>
    <x v="3"/>
    <x v="0"/>
    <n v="56"/>
    <n v="59"/>
    <n v="94"/>
    <n v="209"/>
    <n v="300"/>
    <n v="69.666666666666671"/>
    <x v="1"/>
    <x v="0"/>
    <x v="25"/>
    <x v="28"/>
  </r>
  <r>
    <x v="29"/>
    <x v="0"/>
    <x v="2"/>
    <n v="0.74"/>
    <x v="0"/>
    <x v="1"/>
    <n v="84"/>
    <n v="66"/>
    <n v="81"/>
    <n v="231"/>
    <n v="300"/>
    <n v="77"/>
    <x v="2"/>
    <x v="0"/>
    <x v="3"/>
    <x v="29"/>
  </r>
  <r>
    <x v="30"/>
    <x v="1"/>
    <x v="1"/>
    <n v="0.75"/>
    <x v="2"/>
    <x v="0"/>
    <n v="86"/>
    <n v="74"/>
    <n v="77"/>
    <n v="237"/>
    <n v="300"/>
    <n v="79"/>
    <x v="2"/>
    <x v="0"/>
    <x v="26"/>
    <x v="30"/>
  </r>
  <r>
    <x v="31"/>
    <x v="0"/>
    <x v="3"/>
    <n v="0.88"/>
    <x v="1"/>
    <x v="1"/>
    <n v="91"/>
    <n v="59"/>
    <n v="94"/>
    <n v="244"/>
    <n v="300"/>
    <n v="81.333333333333329"/>
    <x v="0"/>
    <x v="0"/>
    <x v="27"/>
    <x v="31"/>
  </r>
  <r>
    <x v="32"/>
    <x v="0"/>
    <x v="0"/>
    <n v="0.92"/>
    <x v="4"/>
    <x v="0"/>
    <n v="70"/>
    <n v="79"/>
    <n v="73"/>
    <n v="222"/>
    <n v="300"/>
    <n v="74"/>
    <x v="2"/>
    <x v="0"/>
    <x v="28"/>
    <x v="32"/>
  </r>
  <r>
    <x v="33"/>
    <x v="1"/>
    <x v="4"/>
    <n v="0.35"/>
    <x v="2"/>
    <x v="1"/>
    <n v="70"/>
    <n v="66"/>
    <n v="83"/>
    <n v="219"/>
    <n v="300"/>
    <n v="73"/>
    <x v="2"/>
    <x v="0"/>
    <x v="29"/>
    <x v="33"/>
  </r>
  <r>
    <x v="34"/>
    <x v="0"/>
    <x v="2"/>
    <n v="0.46"/>
    <x v="0"/>
    <x v="0"/>
    <n v="80"/>
    <n v="77"/>
    <n v="59"/>
    <n v="216"/>
    <n v="300"/>
    <n v="72"/>
    <x v="2"/>
    <x v="0"/>
    <x v="30"/>
    <x v="34"/>
  </r>
  <r>
    <x v="35"/>
    <x v="0"/>
    <x v="4"/>
    <n v="0.9"/>
    <x v="3"/>
    <x v="0"/>
    <n v="95"/>
    <n v="80"/>
    <n v="66"/>
    <n v="241"/>
    <n v="300"/>
    <n v="80.333333333333329"/>
    <x v="0"/>
    <x v="0"/>
    <x v="31"/>
    <x v="35"/>
  </r>
  <r>
    <x v="36"/>
    <x v="1"/>
    <x v="1"/>
    <n v="0.21"/>
    <x v="1"/>
    <x v="0"/>
    <n v="92"/>
    <n v="73"/>
    <n v="74"/>
    <n v="239"/>
    <n v="300"/>
    <n v="79.666666666666657"/>
    <x v="2"/>
    <x v="0"/>
    <x v="32"/>
    <x v="36"/>
  </r>
  <r>
    <x v="37"/>
    <x v="0"/>
    <x v="3"/>
    <n v="0.71"/>
    <x v="2"/>
    <x v="1"/>
    <n v="83"/>
    <n v="84"/>
    <n v="59"/>
    <n v="226"/>
    <n v="300"/>
    <n v="75.333333333333329"/>
    <x v="2"/>
    <x v="0"/>
    <x v="33"/>
    <x v="37"/>
  </r>
  <r>
    <x v="38"/>
    <x v="1"/>
    <x v="4"/>
    <n v="0.69"/>
    <x v="0"/>
    <x v="0"/>
    <n v="59"/>
    <n v="97"/>
    <n v="79"/>
    <n v="235"/>
    <n v="300"/>
    <n v="78.333333333333329"/>
    <x v="2"/>
    <x v="0"/>
    <x v="34"/>
    <x v="38"/>
  </r>
  <r>
    <x v="39"/>
    <x v="1"/>
    <x v="2"/>
    <n v="0.99"/>
    <x v="3"/>
    <x v="0"/>
    <n v="66"/>
    <n v="91"/>
    <n v="66"/>
    <n v="223"/>
    <n v="300"/>
    <n v="74.333333333333329"/>
    <x v="2"/>
    <x v="0"/>
    <x v="24"/>
    <x v="39"/>
  </r>
  <r>
    <x v="40"/>
    <x v="1"/>
    <x v="1"/>
    <n v="0.92"/>
    <x v="1"/>
    <x v="1"/>
    <n v="74"/>
    <n v="83"/>
    <n v="59"/>
    <n v="216"/>
    <n v="300"/>
    <n v="72"/>
    <x v="2"/>
    <x v="0"/>
    <x v="28"/>
    <x v="40"/>
  </r>
  <r>
    <x v="41"/>
    <x v="1"/>
    <x v="0"/>
    <n v="0.86"/>
    <x v="2"/>
    <x v="1"/>
    <n v="59"/>
    <n v="88"/>
    <n v="66"/>
    <n v="213"/>
    <n v="300"/>
    <n v="71"/>
    <x v="2"/>
    <x v="0"/>
    <x v="35"/>
    <x v="41"/>
  </r>
  <r>
    <x v="42"/>
    <x v="1"/>
    <x v="3"/>
    <n v="0.77"/>
    <x v="0"/>
    <x v="1"/>
    <n v="79"/>
    <n v="71"/>
    <n v="74"/>
    <n v="224"/>
    <n v="300"/>
    <n v="74.666666666666671"/>
    <x v="2"/>
    <x v="0"/>
    <x v="36"/>
    <x v="42"/>
  </r>
  <r>
    <x v="43"/>
    <x v="1"/>
    <x v="4"/>
    <n v="0.6"/>
    <x v="3"/>
    <x v="0"/>
    <n v="66"/>
    <n v="79"/>
    <n v="59"/>
    <n v="204"/>
    <n v="300"/>
    <n v="68"/>
    <x v="1"/>
    <x v="0"/>
    <x v="7"/>
    <x v="43"/>
  </r>
  <r>
    <x v="44"/>
    <x v="0"/>
    <x v="2"/>
    <n v="0.73"/>
    <x v="2"/>
    <x v="1"/>
    <n v="77"/>
    <n v="59"/>
    <n v="79"/>
    <n v="215"/>
    <n v="300"/>
    <n v="71.666666666666671"/>
    <x v="2"/>
    <x v="0"/>
    <x v="37"/>
    <x v="44"/>
  </r>
  <r>
    <x v="45"/>
    <x v="0"/>
    <x v="1"/>
    <n v="0.89"/>
    <x v="0"/>
    <x v="1"/>
    <n v="80"/>
    <n v="60"/>
    <n v="66"/>
    <n v="206"/>
    <n v="300"/>
    <n v="68.666666666666671"/>
    <x v="1"/>
    <x v="0"/>
    <x v="38"/>
    <x v="45"/>
  </r>
  <r>
    <x v="46"/>
    <x v="0"/>
    <x v="4"/>
    <n v="0.59"/>
    <x v="1"/>
    <x v="0"/>
    <n v="73"/>
    <n v="77"/>
    <n v="97"/>
    <n v="247"/>
    <n v="300"/>
    <n v="82.333333333333343"/>
    <x v="0"/>
    <x v="0"/>
    <x v="39"/>
    <x v="46"/>
  </r>
  <r>
    <x v="47"/>
    <x v="0"/>
    <x v="0"/>
    <n v="0.5"/>
    <x v="3"/>
    <x v="1"/>
    <n v="84"/>
    <n v="87"/>
    <n v="89"/>
    <n v="260"/>
    <n v="300"/>
    <n v="86.666666666666671"/>
    <x v="0"/>
    <x v="0"/>
    <x v="23"/>
    <x v="47"/>
  </r>
  <r>
    <x v="48"/>
    <x v="0"/>
    <x v="3"/>
    <n v="0.64"/>
    <x v="2"/>
    <x v="1"/>
    <n v="97"/>
    <n v="91"/>
    <n v="99"/>
    <n v="287"/>
    <n v="300"/>
    <n v="95.666666666666671"/>
    <x v="3"/>
    <x v="0"/>
    <x v="9"/>
    <x v="48"/>
  </r>
  <r>
    <x v="49"/>
    <x v="1"/>
    <x v="2"/>
    <n v="0.78"/>
    <x v="0"/>
    <x v="0"/>
    <n v="91"/>
    <n v="70"/>
    <n v="68"/>
    <n v="229"/>
    <n v="300"/>
    <n v="76.333333333333329"/>
    <x v="2"/>
    <x v="0"/>
    <x v="40"/>
    <x v="49"/>
  </r>
  <r>
    <x v="50"/>
    <x v="1"/>
    <x v="4"/>
    <n v="0.43"/>
    <x v="1"/>
    <x v="1"/>
    <n v="83"/>
    <n v="70"/>
    <n v="73"/>
    <n v="226"/>
    <n v="300"/>
    <n v="75.333333333333329"/>
    <x v="2"/>
    <x v="0"/>
    <x v="41"/>
    <x v="50"/>
  </r>
  <r>
    <x v="51"/>
    <x v="1"/>
    <x v="0"/>
    <n v="0.76"/>
    <x v="3"/>
    <x v="0"/>
    <n v="88"/>
    <n v="80"/>
    <n v="52"/>
    <n v="220"/>
    <n v="300"/>
    <n v="73.333333333333329"/>
    <x v="2"/>
    <x v="0"/>
    <x v="42"/>
    <x v="51"/>
  </r>
  <r>
    <x v="52"/>
    <x v="0"/>
    <x v="1"/>
    <n v="0.8"/>
    <x v="0"/>
    <x v="1"/>
    <n v="71"/>
    <n v="95"/>
    <n v="69"/>
    <n v="235"/>
    <n v="300"/>
    <n v="78.333333333333329"/>
    <x v="2"/>
    <x v="0"/>
    <x v="43"/>
    <x v="52"/>
  </r>
  <r>
    <x v="53"/>
    <x v="0"/>
    <x v="3"/>
    <n v="0.95"/>
    <x v="1"/>
    <x v="0"/>
    <n v="79"/>
    <n v="92"/>
    <n v="77"/>
    <n v="248"/>
    <n v="300"/>
    <n v="82.666666666666671"/>
    <x v="0"/>
    <x v="0"/>
    <x v="44"/>
    <x v="53"/>
  </r>
  <r>
    <x v="54"/>
    <x v="1"/>
    <x v="4"/>
    <n v="0.4"/>
    <x v="3"/>
    <x v="1"/>
    <n v="59"/>
    <n v="83"/>
    <n v="88"/>
    <n v="230"/>
    <n v="300"/>
    <n v="76.666666666666671"/>
    <x v="2"/>
    <x v="0"/>
    <x v="45"/>
    <x v="54"/>
  </r>
  <r>
    <x v="55"/>
    <x v="0"/>
    <x v="2"/>
    <n v="0.62"/>
    <x v="2"/>
    <x v="0"/>
    <n v="60"/>
    <n v="59"/>
    <n v="92"/>
    <n v="211"/>
    <n v="300"/>
    <n v="70.333333333333343"/>
    <x v="2"/>
    <x v="0"/>
    <x v="46"/>
    <x v="55"/>
  </r>
  <r>
    <x v="56"/>
    <x v="0"/>
    <x v="4"/>
    <n v="0.88"/>
    <x v="1"/>
    <x v="1"/>
    <n v="64"/>
    <n v="66"/>
    <n v="94"/>
    <n v="224"/>
    <n v="300"/>
    <n v="74.666666666666671"/>
    <x v="2"/>
    <x v="0"/>
    <x v="41"/>
    <x v="56"/>
  </r>
  <r>
    <x v="57"/>
    <x v="1"/>
    <x v="0"/>
    <n v="0.99"/>
    <x v="3"/>
    <x v="0"/>
    <n v="85"/>
    <n v="74"/>
    <n v="60"/>
    <n v="219"/>
    <n v="300"/>
    <n v="73"/>
    <x v="2"/>
    <x v="0"/>
    <x v="3"/>
    <x v="57"/>
  </r>
  <r>
    <x v="58"/>
    <x v="1"/>
    <x v="3"/>
    <n v="0.32"/>
    <x v="0"/>
    <x v="1"/>
    <n v="88"/>
    <n v="66"/>
    <n v="96"/>
    <n v="250"/>
    <n v="300"/>
    <n v="83.333333333333343"/>
    <x v="0"/>
    <x v="0"/>
    <x v="47"/>
    <x v="58"/>
  </r>
  <r>
    <x v="59"/>
    <x v="1"/>
    <x v="1"/>
    <n v="0.74"/>
    <x v="1"/>
    <x v="0"/>
    <n v="89"/>
    <n v="74"/>
    <n v="80"/>
    <n v="243"/>
    <n v="300"/>
    <n v="81"/>
    <x v="0"/>
    <x v="0"/>
    <x v="48"/>
    <x v="59"/>
  </r>
  <r>
    <x v="60"/>
    <x v="1"/>
    <x v="4"/>
    <n v="0.78"/>
    <x v="3"/>
    <x v="0"/>
    <n v="99"/>
    <n v="59"/>
    <n v="79"/>
    <n v="237"/>
    <n v="300"/>
    <n v="79"/>
    <x v="2"/>
    <x v="0"/>
    <x v="49"/>
    <x v="60"/>
  </r>
  <r>
    <x v="61"/>
    <x v="0"/>
    <x v="2"/>
    <n v="0.64"/>
    <x v="4"/>
    <x v="0"/>
    <n v="60"/>
    <n v="79"/>
    <n v="72"/>
    <n v="211"/>
    <n v="300"/>
    <n v="70.333333333333343"/>
    <x v="2"/>
    <x v="0"/>
    <x v="36"/>
    <x v="61"/>
  </r>
  <r>
    <x v="62"/>
    <x v="0"/>
    <x v="1"/>
    <n v="0.22"/>
    <x v="0"/>
    <x v="0"/>
    <n v="72"/>
    <n v="66"/>
    <n v="99"/>
    <n v="237"/>
    <n v="300"/>
    <n v="79"/>
    <x v="2"/>
    <x v="0"/>
    <x v="49"/>
    <x v="62"/>
  </r>
  <r>
    <x v="63"/>
    <x v="0"/>
    <x v="3"/>
    <n v="0.74"/>
    <x v="3"/>
    <x v="1"/>
    <n v="58"/>
    <n v="91"/>
    <n v="66"/>
    <n v="215"/>
    <n v="300"/>
    <n v="71.666666666666671"/>
    <x v="2"/>
    <x v="0"/>
    <x v="41"/>
    <x v="63"/>
  </r>
  <r>
    <x v="64"/>
    <x v="1"/>
    <x v="4"/>
    <n v="0.8"/>
    <x v="4"/>
    <x v="1"/>
    <n v="88"/>
    <n v="70"/>
    <n v="89"/>
    <n v="247"/>
    <n v="300"/>
    <n v="82.333333333333343"/>
    <x v="0"/>
    <x v="0"/>
    <x v="44"/>
    <x v="64"/>
  </r>
  <r>
    <x v="65"/>
    <x v="1"/>
    <x v="2"/>
    <n v="0.55000000000000004"/>
    <x v="2"/>
    <x v="0"/>
    <n v="79"/>
    <n v="70"/>
    <n v="62"/>
    <n v="211"/>
    <n v="300"/>
    <n v="70.333333333333343"/>
    <x v="2"/>
    <x v="0"/>
    <x v="33"/>
    <x v="65"/>
  </r>
  <r>
    <x v="66"/>
    <x v="0"/>
    <x v="0"/>
    <n v="0.43"/>
    <x v="0"/>
    <x v="0"/>
    <n v="68"/>
    <n v="80"/>
    <n v="56"/>
    <n v="204"/>
    <n v="300"/>
    <n v="68"/>
    <x v="1"/>
    <x v="0"/>
    <x v="10"/>
    <x v="66"/>
  </r>
  <r>
    <x v="67"/>
    <x v="1"/>
    <x v="3"/>
    <n v="0.61"/>
    <x v="3"/>
    <x v="1"/>
    <n v="50"/>
    <n v="95"/>
    <n v="84"/>
    <n v="229"/>
    <n v="300"/>
    <n v="76.333333333333329"/>
    <x v="2"/>
    <x v="0"/>
    <x v="5"/>
    <x v="67"/>
  </r>
  <r>
    <x v="68"/>
    <x v="1"/>
    <x v="4"/>
    <n v="0.44"/>
    <x v="1"/>
    <x v="0"/>
    <n v="80"/>
    <n v="92"/>
    <n v="86"/>
    <n v="258"/>
    <n v="300"/>
    <n v="86"/>
    <x v="0"/>
    <x v="0"/>
    <x v="23"/>
    <x v="68"/>
  </r>
  <r>
    <x v="69"/>
    <x v="0"/>
    <x v="1"/>
    <n v="0.39"/>
    <x v="2"/>
    <x v="0"/>
    <n v="79"/>
    <n v="83"/>
    <n v="91"/>
    <n v="253"/>
    <n v="300"/>
    <n v="84.333333333333343"/>
    <x v="0"/>
    <x v="0"/>
    <x v="50"/>
    <x v="69"/>
  </r>
  <r>
    <x v="70"/>
    <x v="0"/>
    <x v="2"/>
    <n v="0.86"/>
    <x v="0"/>
    <x v="0"/>
    <n v="83"/>
    <n v="59"/>
    <n v="70"/>
    <n v="212"/>
    <n v="300"/>
    <n v="70.666666666666671"/>
    <x v="2"/>
    <x v="0"/>
    <x v="40"/>
    <x v="70"/>
  </r>
  <r>
    <x v="71"/>
    <x v="1"/>
    <x v="3"/>
    <n v="0.79"/>
    <x v="3"/>
    <x v="1"/>
    <n v="82"/>
    <n v="66"/>
    <n v="70"/>
    <n v="218"/>
    <n v="300"/>
    <n v="72.666666666666671"/>
    <x v="2"/>
    <x v="0"/>
    <x v="51"/>
    <x v="71"/>
  </r>
  <r>
    <x v="72"/>
    <x v="0"/>
    <x v="0"/>
    <n v="0.89"/>
    <x v="2"/>
    <x v="1"/>
    <n v="91"/>
    <n v="74"/>
    <n v="80"/>
    <n v="245"/>
    <n v="300"/>
    <n v="81.666666666666671"/>
    <x v="0"/>
    <x v="0"/>
    <x v="44"/>
    <x v="72"/>
  </r>
  <r>
    <x v="73"/>
    <x v="1"/>
    <x v="1"/>
    <n v="0.9"/>
    <x v="0"/>
    <x v="1"/>
    <n v="85"/>
    <n v="73"/>
    <n v="95"/>
    <n v="253"/>
    <n v="300"/>
    <n v="84.333333333333343"/>
    <x v="0"/>
    <x v="0"/>
    <x v="50"/>
    <x v="73"/>
  </r>
  <r>
    <x v="74"/>
    <x v="1"/>
    <x v="0"/>
    <n v="0.67"/>
    <x v="1"/>
    <x v="0"/>
    <n v="79"/>
    <n v="32"/>
    <n v="92"/>
    <n v="203"/>
    <n v="300"/>
    <n v="67.666666666666657"/>
    <x v="1"/>
    <x v="0"/>
    <x v="8"/>
    <x v="74"/>
  </r>
  <r>
    <x v="75"/>
    <x v="0"/>
    <x v="2"/>
    <n v="0.53"/>
    <x v="3"/>
    <x v="0"/>
    <n v="60"/>
    <n v="58"/>
    <n v="83"/>
    <n v="201"/>
    <n v="300"/>
    <n v="67"/>
    <x v="1"/>
    <x v="0"/>
    <x v="3"/>
    <x v="75"/>
  </r>
  <r>
    <x v="76"/>
    <x v="1"/>
    <x v="3"/>
    <n v="0.66"/>
    <x v="0"/>
    <x v="1"/>
    <n v="59"/>
    <n v="46"/>
    <n v="59"/>
    <n v="164"/>
    <n v="300"/>
    <n v="54.666666666666664"/>
    <x v="4"/>
    <x v="1"/>
    <x v="52"/>
    <x v="76"/>
  </r>
  <r>
    <x v="77"/>
    <x v="0"/>
    <x v="0"/>
    <n v="0.55000000000000004"/>
    <x v="1"/>
    <x v="1"/>
    <n v="69"/>
    <n v="80"/>
    <n v="66"/>
    <n v="215"/>
    <n v="300"/>
    <n v="71.666666666666671"/>
    <x v="2"/>
    <x v="0"/>
    <x v="45"/>
    <x v="77"/>
  </r>
  <r>
    <x v="78"/>
    <x v="1"/>
    <x v="1"/>
    <n v="0.85"/>
    <x v="3"/>
    <x v="0"/>
    <n v="68"/>
    <n v="99"/>
    <n v="74"/>
    <n v="241"/>
    <n v="300"/>
    <n v="80.333333333333329"/>
    <x v="0"/>
    <x v="0"/>
    <x v="19"/>
    <x v="78"/>
  </r>
  <r>
    <x v="79"/>
    <x v="0"/>
    <x v="4"/>
    <n v="0.72"/>
    <x v="2"/>
    <x v="1"/>
    <n v="60"/>
    <n v="68"/>
    <n v="59"/>
    <n v="187"/>
    <n v="300"/>
    <n v="62.333333333333329"/>
    <x v="1"/>
    <x v="0"/>
    <x v="15"/>
    <x v="79"/>
  </r>
  <r>
    <x v="80"/>
    <x v="1"/>
    <x v="3"/>
    <n v="0.56000000000000005"/>
    <x v="3"/>
    <x v="0"/>
    <n v="70"/>
    <n v="73"/>
    <n v="79"/>
    <n v="222"/>
    <n v="300"/>
    <n v="74"/>
    <x v="2"/>
    <x v="0"/>
    <x v="26"/>
    <x v="80"/>
  </r>
  <r>
    <x v="81"/>
    <x v="0"/>
    <x v="0"/>
    <n v="0.88"/>
    <x v="0"/>
    <x v="0"/>
    <n v="58"/>
    <n v="52"/>
    <n v="66"/>
    <n v="176"/>
    <n v="300"/>
    <n v="58.666666666666664"/>
    <x v="4"/>
    <x v="1"/>
    <x v="42"/>
    <x v="81"/>
  </r>
  <r>
    <x v="82"/>
    <x v="1"/>
    <x v="1"/>
    <n v="0.92"/>
    <x v="4"/>
    <x v="1"/>
    <n v="72"/>
    <n v="83"/>
    <n v="77"/>
    <n v="232"/>
    <n v="300"/>
    <n v="77.333333333333329"/>
    <x v="2"/>
    <x v="0"/>
    <x v="49"/>
    <x v="82"/>
  </r>
  <r>
    <x v="83"/>
    <x v="0"/>
    <x v="2"/>
    <n v="0.75"/>
    <x v="1"/>
    <x v="1"/>
    <n v="91"/>
    <n v="59"/>
    <n v="80"/>
    <n v="230"/>
    <n v="300"/>
    <n v="76.666666666666671"/>
    <x v="2"/>
    <x v="0"/>
    <x v="27"/>
    <x v="83"/>
  </r>
  <r>
    <x v="84"/>
    <x v="1"/>
    <x v="3"/>
    <n v="0.88"/>
    <x v="2"/>
    <x v="0"/>
    <n v="95"/>
    <n v="66"/>
    <n v="73"/>
    <n v="234"/>
    <n v="300"/>
    <n v="78"/>
    <x v="2"/>
    <x v="0"/>
    <x v="53"/>
    <x v="84"/>
  </r>
  <r>
    <x v="85"/>
    <x v="0"/>
    <x v="2"/>
    <n v="0.92"/>
    <x v="0"/>
    <x v="1"/>
    <n v="99"/>
    <n v="74"/>
    <n v="84"/>
    <n v="257"/>
    <n v="300"/>
    <n v="85.666666666666671"/>
    <x v="0"/>
    <x v="0"/>
    <x v="0"/>
    <x v="85"/>
  </r>
  <r>
    <x v="86"/>
    <x v="1"/>
    <x v="0"/>
    <n v="0.35"/>
    <x v="3"/>
    <x v="0"/>
    <n v="64"/>
    <n v="59"/>
    <n v="97"/>
    <n v="220"/>
    <n v="300"/>
    <n v="73.333333333333329"/>
    <x v="2"/>
    <x v="0"/>
    <x v="54"/>
    <x v="86"/>
  </r>
  <r>
    <x v="87"/>
    <x v="0"/>
    <x v="1"/>
    <n v="0.46"/>
    <x v="2"/>
    <x v="0"/>
    <n v="85"/>
    <n v="79"/>
    <n v="91"/>
    <n v="255"/>
    <n v="300"/>
    <n v="85"/>
    <x v="0"/>
    <x v="0"/>
    <x v="55"/>
    <x v="87"/>
  </r>
  <r>
    <x v="88"/>
    <x v="1"/>
    <x v="2"/>
    <n v="0.9"/>
    <x v="0"/>
    <x v="1"/>
    <n v="88"/>
    <n v="66"/>
    <n v="83"/>
    <n v="237"/>
    <n v="300"/>
    <n v="79"/>
    <x v="2"/>
    <x v="0"/>
    <x v="19"/>
    <x v="88"/>
  </r>
  <r>
    <x v="89"/>
    <x v="0"/>
    <x v="3"/>
    <n v="0.21"/>
    <x v="3"/>
    <x v="0"/>
    <n v="89"/>
    <n v="68"/>
    <n v="88"/>
    <n v="245"/>
    <n v="300"/>
    <n v="81.666666666666671"/>
    <x v="0"/>
    <x v="0"/>
    <x v="56"/>
    <x v="89"/>
  </r>
  <r>
    <x v="90"/>
    <x v="0"/>
    <x v="4"/>
    <n v="0.71"/>
    <x v="2"/>
    <x v="1"/>
    <n v="99"/>
    <n v="60"/>
    <n v="71"/>
    <n v="230"/>
    <n v="300"/>
    <n v="76.666666666666671"/>
    <x v="2"/>
    <x v="0"/>
    <x v="48"/>
    <x v="90"/>
  </r>
  <r>
    <x v="91"/>
    <x v="0"/>
    <x v="0"/>
    <n v="0.69"/>
    <x v="1"/>
    <x v="0"/>
    <n v="60"/>
    <n v="70"/>
    <n v="79"/>
    <n v="209"/>
    <n v="300"/>
    <n v="69.666666666666671"/>
    <x v="1"/>
    <x v="0"/>
    <x v="57"/>
    <x v="91"/>
  </r>
  <r>
    <x v="92"/>
    <x v="0"/>
    <x v="2"/>
    <n v="0.99"/>
    <x v="3"/>
    <x v="0"/>
    <n v="72"/>
    <n v="58"/>
    <n v="59"/>
    <n v="189"/>
    <n v="300"/>
    <n v="63"/>
    <x v="1"/>
    <x v="0"/>
    <x v="34"/>
    <x v="92"/>
  </r>
  <r>
    <x v="93"/>
    <x v="1"/>
    <x v="4"/>
    <n v="0.92"/>
    <x v="0"/>
    <x v="1"/>
    <n v="58"/>
    <n v="72"/>
    <n v="60"/>
    <n v="190"/>
    <n v="300"/>
    <n v="63.333333333333329"/>
    <x v="1"/>
    <x v="0"/>
    <x v="5"/>
    <x v="93"/>
  </r>
  <r>
    <x v="94"/>
    <x v="1"/>
    <x v="3"/>
    <n v="0.86"/>
    <x v="4"/>
    <x v="0"/>
    <n v="88"/>
    <n v="91"/>
    <n v="79"/>
    <n v="258"/>
    <n v="300"/>
    <n v="86"/>
    <x v="0"/>
    <x v="0"/>
    <x v="23"/>
    <x v="94"/>
  </r>
  <r>
    <x v="95"/>
    <x v="1"/>
    <x v="3"/>
    <n v="0.77"/>
    <x v="3"/>
    <x v="0"/>
    <n v="79"/>
    <n v="95"/>
    <n v="81"/>
    <n v="255"/>
    <n v="300"/>
    <n v="85"/>
    <x v="0"/>
    <x v="0"/>
    <x v="0"/>
    <x v="95"/>
  </r>
  <r>
    <x v="96"/>
    <x v="0"/>
    <x v="1"/>
    <n v="0.6"/>
    <x v="0"/>
    <x v="1"/>
    <n v="68"/>
    <n v="99"/>
    <n v="90"/>
    <n v="257"/>
    <n v="300"/>
    <n v="85.666666666666671"/>
    <x v="0"/>
    <x v="0"/>
    <x v="23"/>
    <x v="96"/>
  </r>
  <r>
    <x v="97"/>
    <x v="1"/>
    <x v="0"/>
    <n v="0.73"/>
    <x v="3"/>
    <x v="1"/>
    <n v="50"/>
    <n v="64"/>
    <n v="68"/>
    <n v="182"/>
    <n v="300"/>
    <n v="60.666666666666671"/>
    <x v="1"/>
    <x v="0"/>
    <x v="26"/>
    <x v="97"/>
  </r>
  <r>
    <x v="98"/>
    <x v="0"/>
    <x v="4"/>
    <n v="0.89"/>
    <x v="1"/>
    <x v="1"/>
    <n v="80"/>
    <n v="85"/>
    <n v="60"/>
    <n v="225"/>
    <n v="300"/>
    <n v="75"/>
    <x v="2"/>
    <x v="0"/>
    <x v="39"/>
    <x v="98"/>
  </r>
  <r>
    <x v="99"/>
    <x v="1"/>
    <x v="3"/>
    <n v="0.59"/>
    <x v="4"/>
    <x v="0"/>
    <n v="79"/>
    <n v="88"/>
    <n v="70"/>
    <n v="237"/>
    <n v="300"/>
    <n v="79"/>
    <x v="2"/>
    <x v="0"/>
    <x v="56"/>
    <x v="99"/>
  </r>
  <r>
    <x v="100"/>
    <x v="1"/>
    <x v="0"/>
    <n v="0.5"/>
    <x v="4"/>
    <x v="0"/>
    <n v="83"/>
    <n v="89"/>
    <n v="58"/>
    <n v="230"/>
    <n v="300"/>
    <n v="76.666666666666671"/>
    <x v="2"/>
    <x v="0"/>
    <x v="19"/>
    <x v="100"/>
  </r>
  <r>
    <x v="101"/>
    <x v="1"/>
    <x v="2"/>
    <n v="0.64"/>
    <x v="1"/>
    <x v="1"/>
    <n v="82"/>
    <n v="99"/>
    <n v="72"/>
    <n v="253"/>
    <n v="300"/>
    <n v="84.333333333333343"/>
    <x v="0"/>
    <x v="0"/>
    <x v="23"/>
    <x v="101"/>
  </r>
  <r>
    <x v="102"/>
    <x v="0"/>
    <x v="1"/>
    <n v="0.78"/>
    <x v="4"/>
    <x v="0"/>
    <n v="91"/>
    <n v="60"/>
    <n v="91"/>
    <n v="242"/>
    <n v="300"/>
    <n v="80.666666666666657"/>
    <x v="0"/>
    <x v="0"/>
    <x v="50"/>
    <x v="102"/>
  </r>
  <r>
    <x v="103"/>
    <x v="0"/>
    <x v="0"/>
    <n v="0.43"/>
    <x v="4"/>
    <x v="1"/>
    <n v="85"/>
    <n v="72"/>
    <n v="95"/>
    <n v="252"/>
    <n v="300"/>
    <n v="84"/>
    <x v="0"/>
    <x v="0"/>
    <x v="23"/>
    <x v="103"/>
  </r>
  <r>
    <x v="104"/>
    <x v="0"/>
    <x v="0"/>
    <n v="0.76"/>
    <x v="2"/>
    <x v="0"/>
    <n v="79"/>
    <n v="58"/>
    <n v="99"/>
    <n v="236"/>
    <n v="300"/>
    <n v="78.666666666666657"/>
    <x v="2"/>
    <x v="0"/>
    <x v="58"/>
    <x v="104"/>
  </r>
  <r>
    <x v="105"/>
    <x v="0"/>
    <x v="4"/>
    <n v="0.8"/>
    <x v="3"/>
    <x v="1"/>
    <n v="60"/>
    <n v="88"/>
    <n v="64"/>
    <n v="212"/>
    <n v="300"/>
    <n v="70.666666666666671"/>
    <x v="2"/>
    <x v="0"/>
    <x v="20"/>
    <x v="105"/>
  </r>
  <r>
    <x v="106"/>
    <x v="0"/>
    <x v="3"/>
    <n v="0.95"/>
    <x v="1"/>
    <x v="0"/>
    <n v="59"/>
    <n v="79"/>
    <n v="85"/>
    <n v="223"/>
    <n v="300"/>
    <n v="74.333333333333329"/>
    <x v="2"/>
    <x v="0"/>
    <x v="59"/>
    <x v="106"/>
  </r>
  <r>
    <x v="107"/>
    <x v="0"/>
    <x v="2"/>
    <n v="0.4"/>
    <x v="2"/>
    <x v="0"/>
    <n v="69"/>
    <n v="68"/>
    <n v="88"/>
    <n v="225"/>
    <n v="300"/>
    <n v="75"/>
    <x v="2"/>
    <x v="0"/>
    <x v="47"/>
    <x v="107"/>
  </r>
  <r>
    <x v="108"/>
    <x v="0"/>
    <x v="1"/>
    <n v="0.62"/>
    <x v="4"/>
    <x v="1"/>
    <n v="68"/>
    <n v="50"/>
    <n v="89"/>
    <n v="207"/>
    <n v="300"/>
    <n v="69"/>
    <x v="1"/>
    <x v="0"/>
    <x v="2"/>
    <x v="108"/>
  </r>
  <r>
    <x v="109"/>
    <x v="1"/>
    <x v="4"/>
    <n v="0.88"/>
    <x v="3"/>
    <x v="1"/>
    <n v="60"/>
    <n v="80"/>
    <n v="99"/>
    <n v="239"/>
    <n v="300"/>
    <n v="79.666666666666657"/>
    <x v="2"/>
    <x v="0"/>
    <x v="60"/>
    <x v="109"/>
  </r>
  <r>
    <x v="110"/>
    <x v="1"/>
    <x v="0"/>
    <n v="0.99"/>
    <x v="1"/>
    <x v="0"/>
    <n v="70"/>
    <n v="79"/>
    <n v="60"/>
    <n v="209"/>
    <n v="300"/>
    <n v="69.666666666666671"/>
    <x v="1"/>
    <x v="0"/>
    <x v="19"/>
    <x v="110"/>
  </r>
  <r>
    <x v="111"/>
    <x v="1"/>
    <x v="1"/>
    <n v="0.32"/>
    <x v="4"/>
    <x v="0"/>
    <n v="58"/>
    <n v="83"/>
    <n v="72"/>
    <n v="213"/>
    <n v="300"/>
    <n v="71"/>
    <x v="2"/>
    <x v="0"/>
    <x v="47"/>
    <x v="111"/>
  </r>
  <r>
    <x v="112"/>
    <x v="0"/>
    <x v="2"/>
    <n v="0.74"/>
    <x v="3"/>
    <x v="1"/>
    <n v="72"/>
    <n v="82"/>
    <n v="58"/>
    <n v="212"/>
    <n v="300"/>
    <n v="70.666666666666671"/>
    <x v="2"/>
    <x v="0"/>
    <x v="47"/>
    <x v="112"/>
  </r>
  <r>
    <x v="113"/>
    <x v="1"/>
    <x v="0"/>
    <n v="0.78"/>
    <x v="4"/>
    <x v="1"/>
    <n v="91"/>
    <n v="91"/>
    <n v="88"/>
    <n v="270"/>
    <n v="300"/>
    <n v="90"/>
    <x v="0"/>
    <x v="0"/>
    <x v="9"/>
    <x v="113"/>
  </r>
  <r>
    <x v="114"/>
    <x v="0"/>
    <x v="4"/>
    <n v="0.64"/>
    <x v="1"/>
    <x v="0"/>
    <n v="95"/>
    <n v="85"/>
    <n v="79"/>
    <n v="259"/>
    <n v="300"/>
    <n v="86.333333333333329"/>
    <x v="0"/>
    <x v="0"/>
    <x v="9"/>
    <x v="114"/>
  </r>
  <r>
    <x v="115"/>
    <x v="1"/>
    <x v="3"/>
    <n v="0.22"/>
    <x v="1"/>
    <x v="1"/>
    <n v="99"/>
    <n v="79"/>
    <n v="68"/>
    <n v="246"/>
    <n v="300"/>
    <n v="82"/>
    <x v="0"/>
    <x v="0"/>
    <x v="23"/>
    <x v="115"/>
  </r>
  <r>
    <x v="116"/>
    <x v="1"/>
    <x v="2"/>
    <n v="0.74"/>
    <x v="2"/>
    <x v="0"/>
    <n v="77"/>
    <n v="60"/>
    <n v="50"/>
    <n v="187"/>
    <n v="300"/>
    <n v="62.333333333333329"/>
    <x v="1"/>
    <x v="0"/>
    <x v="47"/>
    <x v="116"/>
  </r>
  <r>
    <x v="117"/>
    <x v="1"/>
    <x v="0"/>
    <n v="0.8"/>
    <x v="3"/>
    <x v="0"/>
    <n v="57"/>
    <n v="59"/>
    <n v="80"/>
    <n v="196"/>
    <n v="300"/>
    <n v="65.333333333333329"/>
    <x v="1"/>
    <x v="0"/>
    <x v="56"/>
    <x v="117"/>
  </r>
  <r>
    <x v="118"/>
    <x v="0"/>
    <x v="1"/>
    <n v="0.55000000000000004"/>
    <x v="2"/>
    <x v="1"/>
    <n v="98"/>
    <n v="69"/>
    <n v="79"/>
    <n v="246"/>
    <n v="300"/>
    <n v="82"/>
    <x v="0"/>
    <x v="0"/>
    <x v="23"/>
    <x v="118"/>
  </r>
  <r>
    <x v="119"/>
    <x v="0"/>
    <x v="0"/>
    <n v="0.43"/>
    <x v="1"/>
    <x v="1"/>
    <n v="88"/>
    <n v="68"/>
    <n v="83"/>
    <n v="239"/>
    <n v="300"/>
    <n v="79.666666666666657"/>
    <x v="2"/>
    <x v="0"/>
    <x v="23"/>
    <x v="119"/>
  </r>
  <r>
    <x v="120"/>
    <x v="1"/>
    <x v="4"/>
    <n v="0.61"/>
    <x v="1"/>
    <x v="0"/>
    <n v="69"/>
    <n v="60"/>
    <n v="82"/>
    <n v="211"/>
    <n v="300"/>
    <n v="70.333333333333343"/>
    <x v="2"/>
    <x v="0"/>
    <x v="50"/>
    <x v="120"/>
  </r>
  <r>
    <x v="121"/>
    <x v="1"/>
    <x v="0"/>
    <n v="0.44"/>
    <x v="3"/>
    <x v="1"/>
    <n v="73"/>
    <n v="85"/>
    <n v="91"/>
    <n v="249"/>
    <n v="300"/>
    <n v="83"/>
    <x v="0"/>
    <x v="0"/>
    <x v="9"/>
    <x v="121"/>
  </r>
  <r>
    <x v="122"/>
    <x v="1"/>
    <x v="2"/>
    <n v="0.39"/>
    <x v="4"/>
    <x v="1"/>
    <n v="32"/>
    <n v="70"/>
    <n v="85"/>
    <n v="187"/>
    <n v="300"/>
    <n v="62.333333333333329"/>
    <x v="1"/>
    <x v="0"/>
    <x v="50"/>
    <x v="122"/>
  </r>
  <r>
    <x v="123"/>
    <x v="0"/>
    <x v="1"/>
    <n v="0.86"/>
    <x v="1"/>
    <x v="0"/>
    <n v="58"/>
    <n v="89"/>
    <n v="79"/>
    <n v="226"/>
    <n v="300"/>
    <n v="75.333333333333329"/>
    <x v="2"/>
    <x v="0"/>
    <x v="55"/>
    <x v="123"/>
  </r>
  <r>
    <x v="124"/>
    <x v="0"/>
    <x v="4"/>
    <n v="0.79"/>
    <x v="3"/>
    <x v="1"/>
    <n v="46"/>
    <n v="97"/>
    <n v="60"/>
    <n v="203"/>
    <n v="300"/>
    <n v="67.666666666666657"/>
    <x v="1"/>
    <x v="0"/>
    <x v="61"/>
    <x v="124"/>
  </r>
  <r>
    <x v="125"/>
    <x v="0"/>
    <x v="3"/>
    <n v="0.89"/>
    <x v="2"/>
    <x v="0"/>
    <n v="80"/>
    <n v="93"/>
    <n v="59"/>
    <n v="232"/>
    <n v="300"/>
    <n v="77.333333333333329"/>
    <x v="2"/>
    <x v="0"/>
    <x v="0"/>
    <x v="125"/>
  </r>
  <r>
    <x v="126"/>
    <x v="1"/>
    <x v="2"/>
    <n v="0.9"/>
    <x v="3"/>
    <x v="0"/>
    <n v="99"/>
    <n v="65"/>
    <n v="69"/>
    <n v="233"/>
    <n v="300"/>
    <n v="77.666666666666657"/>
    <x v="2"/>
    <x v="0"/>
    <x v="23"/>
    <x v="126"/>
  </r>
  <r>
    <x v="127"/>
    <x v="1"/>
    <x v="0"/>
    <n v="0.82"/>
    <x v="1"/>
    <x v="1"/>
    <n v="68"/>
    <n v="99"/>
    <n v="68"/>
    <n v="235"/>
    <n v="300"/>
    <n v="78.333333333333329"/>
    <x v="2"/>
    <x v="0"/>
    <x v="62"/>
    <x v="127"/>
  </r>
  <r>
    <x v="128"/>
    <x v="1"/>
    <x v="1"/>
    <n v="0.99"/>
    <x v="2"/>
    <x v="1"/>
    <n v="73"/>
    <n v="81"/>
    <n v="60"/>
    <n v="214"/>
    <n v="300"/>
    <n v="71.333333333333343"/>
    <x v="2"/>
    <x v="0"/>
    <x v="62"/>
    <x v="128"/>
  </r>
  <r>
    <x v="129"/>
    <x v="0"/>
    <x v="0"/>
    <n v="0.64"/>
    <x v="1"/>
    <x v="0"/>
    <n v="52"/>
    <n v="97"/>
    <n v="99"/>
    <n v="248"/>
    <n v="300"/>
    <n v="82.666666666666671"/>
    <x v="0"/>
    <x v="0"/>
    <x v="9"/>
    <x v="1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43C4B-1111-42F4-B0DD-4C7C5DE5292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2:H133" firstHeaderRow="0" firstDataRow="1" firstDataCol="1"/>
  <pivotFields count="16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showAll="0"/>
    <pivotField showAll="0"/>
    <pivotField numFmtId="9"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s " fld="6" baseField="0" baseItem="0"/>
    <dataField name="Sum of English " fld="7" baseField="0" baseItem="0"/>
    <dataField name="Sum of Science" fld="8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">
      <pivotArea dataOnly="0" labelOnly="1" fieldPosition="0">
        <references count="1">
          <reference field="0" count="3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1DD04-63BC-4E3F-85CF-D8FCA43BFD6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C653" firstHeaderRow="0" firstDataRow="1" firstDataCol="1"/>
  <pivotFields count="16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numFmtId="9" showAll="0"/>
    <pivotField showAll="0">
      <items count="6">
        <item x="2"/>
        <item x="1"/>
        <item x="0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5">
    <field x="0"/>
    <field x="2"/>
    <field x="5"/>
    <field x="12"/>
    <field x="13"/>
  </rowFields>
  <rowItems count="651">
    <i>
      <x/>
    </i>
    <i r="1">
      <x v="1"/>
    </i>
    <i r="2">
      <x/>
    </i>
    <i r="3">
      <x v="1"/>
    </i>
    <i r="4">
      <x v="1"/>
    </i>
    <i>
      <x v="1"/>
    </i>
    <i r="1">
      <x v="3"/>
    </i>
    <i r="2">
      <x v="1"/>
    </i>
    <i r="3">
      <x v="3"/>
    </i>
    <i r="4">
      <x v="1"/>
    </i>
    <i>
      <x v="2"/>
    </i>
    <i r="1">
      <x v="2"/>
    </i>
    <i r="2">
      <x/>
    </i>
    <i r="3">
      <x v="1"/>
    </i>
    <i r="4">
      <x v="1"/>
    </i>
    <i>
      <x v="3"/>
    </i>
    <i r="1">
      <x v="3"/>
    </i>
    <i r="2">
      <x v="1"/>
    </i>
    <i r="3">
      <x v="2"/>
    </i>
    <i r="4">
      <x v="1"/>
    </i>
    <i>
      <x v="4"/>
    </i>
    <i r="1">
      <x v="1"/>
    </i>
    <i r="2">
      <x/>
    </i>
    <i r="3">
      <x v="2"/>
    </i>
    <i r="4">
      <x v="1"/>
    </i>
    <i>
      <x v="5"/>
    </i>
    <i r="1">
      <x/>
    </i>
    <i r="2">
      <x v="1"/>
    </i>
    <i r="3">
      <x v="1"/>
    </i>
    <i r="4">
      <x v="1"/>
    </i>
    <i>
      <x v="6"/>
    </i>
    <i r="1">
      <x v="2"/>
    </i>
    <i r="2">
      <x/>
    </i>
    <i r="3">
      <x v="3"/>
    </i>
    <i r="4">
      <x v="1"/>
    </i>
    <i>
      <x v="7"/>
    </i>
    <i r="1">
      <x v="3"/>
    </i>
    <i r="2">
      <x v="1"/>
    </i>
    <i r="3">
      <x v="2"/>
    </i>
    <i r="4">
      <x v="1"/>
    </i>
    <i>
      <x v="8"/>
    </i>
    <i r="1">
      <x v="1"/>
    </i>
    <i r="2">
      <x/>
    </i>
    <i r="3">
      <x v="2"/>
    </i>
    <i r="4">
      <x v="1"/>
    </i>
    <i>
      <x v="9"/>
    </i>
    <i r="1">
      <x v="4"/>
    </i>
    <i r="2">
      <x/>
    </i>
    <i r="3">
      <x v="2"/>
    </i>
    <i r="4">
      <x v="1"/>
    </i>
    <i>
      <x v="10"/>
    </i>
    <i r="1">
      <x v="2"/>
    </i>
    <i r="2">
      <x v="1"/>
    </i>
    <i r="3">
      <x/>
    </i>
    <i r="4">
      <x v="1"/>
    </i>
    <i>
      <x v="11"/>
    </i>
    <i r="1">
      <x/>
    </i>
    <i r="2">
      <x/>
    </i>
    <i r="3">
      <x v="2"/>
    </i>
    <i r="4">
      <x v="1"/>
    </i>
    <i>
      <x v="12"/>
    </i>
    <i r="1">
      <x v="3"/>
    </i>
    <i r="2">
      <x v="1"/>
    </i>
    <i r="3">
      <x v="2"/>
    </i>
    <i r="4">
      <x v="1"/>
    </i>
    <i>
      <x v="13"/>
    </i>
    <i r="1">
      <x v="4"/>
    </i>
    <i r="2">
      <x/>
    </i>
    <i r="3">
      <x v="3"/>
    </i>
    <i r="4">
      <x v="1"/>
    </i>
    <i>
      <x v="14"/>
    </i>
    <i r="1">
      <x v="2"/>
    </i>
    <i r="2">
      <x/>
    </i>
    <i r="3">
      <x v="1"/>
    </i>
    <i r="4">
      <x v="1"/>
    </i>
    <i>
      <x v="15"/>
    </i>
    <i r="1">
      <x/>
    </i>
    <i r="2">
      <x/>
    </i>
    <i r="3">
      <x v="3"/>
    </i>
    <i r="4">
      <x v="1"/>
    </i>
    <i>
      <x v="16"/>
    </i>
    <i r="1">
      <x v="3"/>
    </i>
    <i r="2">
      <x v="1"/>
    </i>
    <i r="3">
      <x v="2"/>
    </i>
    <i r="4">
      <x v="1"/>
    </i>
    <i>
      <x v="17"/>
    </i>
    <i r="1">
      <x v="4"/>
    </i>
    <i r="2">
      <x v="1"/>
    </i>
    <i r="3">
      <x v="3"/>
    </i>
    <i r="4">
      <x v="1"/>
    </i>
    <i>
      <x v="18"/>
    </i>
    <i r="1">
      <x v="2"/>
    </i>
    <i r="2">
      <x/>
    </i>
    <i r="3">
      <x v="3"/>
    </i>
    <i r="4">
      <x v="1"/>
    </i>
    <i>
      <x v="19"/>
    </i>
    <i r="1">
      <x/>
    </i>
    <i r="2">
      <x v="1"/>
    </i>
    <i r="3">
      <x v="3"/>
    </i>
    <i r="4">
      <x v="1"/>
    </i>
    <i>
      <x v="20"/>
    </i>
    <i r="1">
      <x v="3"/>
    </i>
    <i r="2">
      <x/>
    </i>
    <i r="3">
      <x v="1"/>
    </i>
    <i r="4">
      <x v="1"/>
    </i>
    <i>
      <x v="21"/>
    </i>
    <i r="1">
      <x v="2"/>
    </i>
    <i r="2">
      <x v="1"/>
    </i>
    <i r="3">
      <x v="1"/>
    </i>
    <i r="4">
      <x v="1"/>
    </i>
    <i>
      <x v="22"/>
    </i>
    <i r="1">
      <x/>
    </i>
    <i r="2">
      <x/>
    </i>
    <i r="3">
      <x v="3"/>
    </i>
    <i r="4">
      <x v="1"/>
    </i>
    <i>
      <x v="23"/>
    </i>
    <i r="1">
      <x v="1"/>
    </i>
    <i r="2">
      <x v="1"/>
    </i>
    <i r="3">
      <x v="3"/>
    </i>
    <i r="4">
      <x v="1"/>
    </i>
    <i>
      <x v="24"/>
    </i>
    <i r="1">
      <x v="2"/>
    </i>
    <i r="2">
      <x/>
    </i>
    <i r="3">
      <x v="1"/>
    </i>
    <i r="4">
      <x v="1"/>
    </i>
    <i>
      <x v="25"/>
    </i>
    <i r="1">
      <x/>
    </i>
    <i r="2">
      <x/>
    </i>
    <i r="3">
      <x v="2"/>
    </i>
    <i r="4">
      <x v="1"/>
    </i>
    <i>
      <x v="26"/>
    </i>
    <i r="1">
      <x/>
    </i>
    <i r="2">
      <x/>
    </i>
    <i r="3">
      <x v="1"/>
    </i>
    <i r="4">
      <x v="1"/>
    </i>
    <i>
      <x v="27"/>
    </i>
    <i r="1">
      <x v="4"/>
    </i>
    <i r="2">
      <x v="1"/>
    </i>
    <i r="3">
      <x v="2"/>
    </i>
    <i r="4">
      <x v="1"/>
    </i>
    <i>
      <x v="28"/>
    </i>
    <i r="1">
      <x v="3"/>
    </i>
    <i r="2">
      <x/>
    </i>
    <i r="3">
      <x v="3"/>
    </i>
    <i r="4">
      <x v="1"/>
    </i>
    <i>
      <x v="29"/>
    </i>
    <i r="1">
      <x v="2"/>
    </i>
    <i r="2">
      <x v="1"/>
    </i>
    <i r="3">
      <x v="2"/>
    </i>
    <i r="4">
      <x v="1"/>
    </i>
    <i>
      <x v="30"/>
    </i>
    <i r="1">
      <x v="3"/>
    </i>
    <i r="2">
      <x/>
    </i>
    <i r="3">
      <x v="2"/>
    </i>
    <i r="4">
      <x v="1"/>
    </i>
    <i>
      <x v="31"/>
    </i>
    <i r="1">
      <x/>
    </i>
    <i r="2">
      <x v="1"/>
    </i>
    <i r="3">
      <x v="1"/>
    </i>
    <i r="4">
      <x v="1"/>
    </i>
    <i>
      <x v="32"/>
    </i>
    <i r="1">
      <x v="1"/>
    </i>
    <i r="2">
      <x/>
    </i>
    <i r="3">
      <x v="2"/>
    </i>
    <i r="4">
      <x v="1"/>
    </i>
    <i>
      <x v="33"/>
    </i>
    <i r="1">
      <x v="4"/>
    </i>
    <i r="2">
      <x v="1"/>
    </i>
    <i r="3">
      <x v="2"/>
    </i>
    <i r="4">
      <x v="1"/>
    </i>
    <i>
      <x v="34"/>
    </i>
    <i r="1">
      <x v="2"/>
    </i>
    <i r="2">
      <x/>
    </i>
    <i r="3">
      <x v="2"/>
    </i>
    <i r="4">
      <x v="1"/>
    </i>
    <i>
      <x v="35"/>
    </i>
    <i r="1">
      <x v="4"/>
    </i>
    <i r="2">
      <x/>
    </i>
    <i r="3">
      <x v="1"/>
    </i>
    <i r="4">
      <x v="1"/>
    </i>
    <i>
      <x v="36"/>
    </i>
    <i r="1">
      <x v="3"/>
    </i>
    <i r="2">
      <x/>
    </i>
    <i r="3">
      <x v="2"/>
    </i>
    <i r="4">
      <x v="1"/>
    </i>
    <i>
      <x v="37"/>
    </i>
    <i r="1">
      <x/>
    </i>
    <i r="2">
      <x v="1"/>
    </i>
    <i r="3">
      <x v="2"/>
    </i>
    <i r="4">
      <x v="1"/>
    </i>
    <i>
      <x v="38"/>
    </i>
    <i r="1">
      <x v="4"/>
    </i>
    <i r="2">
      <x/>
    </i>
    <i r="3">
      <x v="2"/>
    </i>
    <i r="4">
      <x v="1"/>
    </i>
    <i>
      <x v="39"/>
    </i>
    <i r="1">
      <x v="2"/>
    </i>
    <i r="2">
      <x/>
    </i>
    <i r="3">
      <x v="2"/>
    </i>
    <i r="4">
      <x v="1"/>
    </i>
    <i>
      <x v="40"/>
    </i>
    <i r="1">
      <x v="3"/>
    </i>
    <i r="2">
      <x v="1"/>
    </i>
    <i r="3">
      <x v="2"/>
    </i>
    <i r="4">
      <x v="1"/>
    </i>
    <i>
      <x v="41"/>
    </i>
    <i r="1">
      <x v="1"/>
    </i>
    <i r="2">
      <x v="1"/>
    </i>
    <i r="3">
      <x v="2"/>
    </i>
    <i r="4">
      <x v="1"/>
    </i>
    <i>
      <x v="42"/>
    </i>
    <i r="1">
      <x/>
    </i>
    <i r="2">
      <x v="1"/>
    </i>
    <i r="3">
      <x v="2"/>
    </i>
    <i r="4">
      <x v="1"/>
    </i>
    <i>
      <x v="43"/>
    </i>
    <i r="1">
      <x v="4"/>
    </i>
    <i r="2">
      <x/>
    </i>
    <i r="3">
      <x v="3"/>
    </i>
    <i r="4">
      <x v="1"/>
    </i>
    <i>
      <x v="44"/>
    </i>
    <i r="1">
      <x v="2"/>
    </i>
    <i r="2">
      <x v="1"/>
    </i>
    <i r="3">
      <x v="2"/>
    </i>
    <i r="4">
      <x v="1"/>
    </i>
    <i>
      <x v="45"/>
    </i>
    <i r="1">
      <x v="3"/>
    </i>
    <i r="2">
      <x v="1"/>
    </i>
    <i r="3">
      <x v="3"/>
    </i>
    <i r="4">
      <x v="1"/>
    </i>
    <i>
      <x v="46"/>
    </i>
    <i r="1">
      <x v="4"/>
    </i>
    <i r="2">
      <x/>
    </i>
    <i r="3">
      <x v="1"/>
    </i>
    <i r="4">
      <x v="1"/>
    </i>
    <i>
      <x v="47"/>
    </i>
    <i r="1">
      <x v="1"/>
    </i>
    <i r="2">
      <x v="1"/>
    </i>
    <i r="3">
      <x v="1"/>
    </i>
    <i r="4">
      <x v="1"/>
    </i>
    <i>
      <x v="48"/>
    </i>
    <i r="1">
      <x/>
    </i>
    <i r="2">
      <x v="1"/>
    </i>
    <i r="3">
      <x/>
    </i>
    <i r="4">
      <x v="1"/>
    </i>
    <i>
      <x v="49"/>
    </i>
    <i r="1">
      <x v="2"/>
    </i>
    <i r="2">
      <x/>
    </i>
    <i r="3">
      <x v="2"/>
    </i>
    <i r="4">
      <x v="1"/>
    </i>
    <i>
      <x v="50"/>
    </i>
    <i r="1">
      <x v="4"/>
    </i>
    <i r="2">
      <x v="1"/>
    </i>
    <i r="3">
      <x v="2"/>
    </i>
    <i r="4">
      <x v="1"/>
    </i>
    <i>
      <x v="51"/>
    </i>
    <i r="1">
      <x v="1"/>
    </i>
    <i r="2">
      <x/>
    </i>
    <i r="3">
      <x v="2"/>
    </i>
    <i r="4">
      <x v="1"/>
    </i>
    <i>
      <x v="52"/>
    </i>
    <i r="1">
      <x v="3"/>
    </i>
    <i r="2">
      <x v="1"/>
    </i>
    <i r="3">
      <x v="2"/>
    </i>
    <i r="4">
      <x v="1"/>
    </i>
    <i>
      <x v="53"/>
    </i>
    <i r="1">
      <x/>
    </i>
    <i r="2">
      <x/>
    </i>
    <i r="3">
      <x v="1"/>
    </i>
    <i r="4">
      <x v="1"/>
    </i>
    <i>
      <x v="54"/>
    </i>
    <i r="1">
      <x v="4"/>
    </i>
    <i r="2">
      <x v="1"/>
    </i>
    <i r="3">
      <x v="2"/>
    </i>
    <i r="4">
      <x v="1"/>
    </i>
    <i>
      <x v="55"/>
    </i>
    <i r="1">
      <x v="2"/>
    </i>
    <i r="2">
      <x/>
    </i>
    <i r="3">
      <x v="2"/>
    </i>
    <i r="4">
      <x v="1"/>
    </i>
    <i>
      <x v="56"/>
    </i>
    <i r="1">
      <x v="4"/>
    </i>
    <i r="2">
      <x v="1"/>
    </i>
    <i r="3">
      <x v="2"/>
    </i>
    <i r="4">
      <x v="1"/>
    </i>
    <i>
      <x v="57"/>
    </i>
    <i r="1">
      <x v="1"/>
    </i>
    <i r="2">
      <x/>
    </i>
    <i r="3">
      <x v="2"/>
    </i>
    <i r="4">
      <x v="1"/>
    </i>
    <i>
      <x v="58"/>
    </i>
    <i r="1">
      <x/>
    </i>
    <i r="2">
      <x v="1"/>
    </i>
    <i r="3">
      <x v="1"/>
    </i>
    <i r="4">
      <x v="1"/>
    </i>
    <i>
      <x v="59"/>
    </i>
    <i r="1">
      <x v="3"/>
    </i>
    <i r="2">
      <x/>
    </i>
    <i r="3">
      <x v="1"/>
    </i>
    <i r="4">
      <x v="1"/>
    </i>
    <i>
      <x v="60"/>
    </i>
    <i r="1">
      <x v="4"/>
    </i>
    <i r="2">
      <x/>
    </i>
    <i r="3">
      <x v="2"/>
    </i>
    <i r="4">
      <x v="1"/>
    </i>
    <i>
      <x v="61"/>
    </i>
    <i r="1">
      <x v="2"/>
    </i>
    <i r="2">
      <x/>
    </i>
    <i r="3">
      <x v="2"/>
    </i>
    <i r="4">
      <x v="1"/>
    </i>
    <i>
      <x v="62"/>
    </i>
    <i r="1">
      <x v="3"/>
    </i>
    <i r="2">
      <x/>
    </i>
    <i r="3">
      <x v="2"/>
    </i>
    <i r="4">
      <x v="1"/>
    </i>
    <i>
      <x v="63"/>
    </i>
    <i r="1">
      <x/>
    </i>
    <i r="2">
      <x v="1"/>
    </i>
    <i r="3">
      <x v="2"/>
    </i>
    <i r="4">
      <x v="1"/>
    </i>
    <i>
      <x v="64"/>
    </i>
    <i r="1">
      <x v="4"/>
    </i>
    <i r="2">
      <x v="1"/>
    </i>
    <i r="3">
      <x v="1"/>
    </i>
    <i r="4">
      <x v="1"/>
    </i>
    <i>
      <x v="65"/>
    </i>
    <i r="1">
      <x v="2"/>
    </i>
    <i r="2">
      <x/>
    </i>
    <i r="3">
      <x v="2"/>
    </i>
    <i r="4">
      <x v="1"/>
    </i>
    <i>
      <x v="66"/>
    </i>
    <i r="1">
      <x v="1"/>
    </i>
    <i r="2">
      <x/>
    </i>
    <i r="3">
      <x v="3"/>
    </i>
    <i r="4">
      <x v="1"/>
    </i>
    <i>
      <x v="67"/>
    </i>
    <i r="1">
      <x/>
    </i>
    <i r="2">
      <x v="1"/>
    </i>
    <i r="3">
      <x v="2"/>
    </i>
    <i r="4">
      <x v="1"/>
    </i>
    <i>
      <x v="68"/>
    </i>
    <i r="1">
      <x v="4"/>
    </i>
    <i r="2">
      <x/>
    </i>
    <i r="3">
      <x v="1"/>
    </i>
    <i r="4">
      <x v="1"/>
    </i>
    <i>
      <x v="69"/>
    </i>
    <i r="1">
      <x v="3"/>
    </i>
    <i r="2">
      <x/>
    </i>
    <i r="3">
      <x v="1"/>
    </i>
    <i r="4">
      <x v="1"/>
    </i>
    <i>
      <x v="70"/>
    </i>
    <i r="1">
      <x v="2"/>
    </i>
    <i r="2">
      <x/>
    </i>
    <i r="3">
      <x v="2"/>
    </i>
    <i r="4">
      <x v="1"/>
    </i>
    <i>
      <x v="71"/>
    </i>
    <i r="1">
      <x/>
    </i>
    <i r="2">
      <x v="1"/>
    </i>
    <i r="3">
      <x v="2"/>
    </i>
    <i r="4">
      <x v="1"/>
    </i>
    <i>
      <x v="72"/>
    </i>
    <i r="1">
      <x v="1"/>
    </i>
    <i r="2">
      <x v="1"/>
    </i>
    <i r="3">
      <x v="1"/>
    </i>
    <i r="4">
      <x v="1"/>
    </i>
    <i>
      <x v="73"/>
    </i>
    <i r="1">
      <x v="3"/>
    </i>
    <i r="2">
      <x v="1"/>
    </i>
    <i r="3">
      <x v="1"/>
    </i>
    <i r="4">
      <x v="1"/>
    </i>
    <i>
      <x v="74"/>
    </i>
    <i r="1">
      <x v="1"/>
    </i>
    <i r="2">
      <x/>
    </i>
    <i r="3">
      <x v="3"/>
    </i>
    <i r="4">
      <x v="1"/>
    </i>
    <i>
      <x v="75"/>
    </i>
    <i r="1">
      <x v="2"/>
    </i>
    <i r="2">
      <x/>
    </i>
    <i r="3">
      <x v="3"/>
    </i>
    <i r="4">
      <x v="1"/>
    </i>
    <i>
      <x v="76"/>
    </i>
    <i r="1">
      <x/>
    </i>
    <i r="2">
      <x v="1"/>
    </i>
    <i r="3">
      <x v="4"/>
    </i>
    <i r="4">
      <x/>
    </i>
    <i>
      <x v="77"/>
    </i>
    <i r="1">
      <x v="1"/>
    </i>
    <i r="2">
      <x v="1"/>
    </i>
    <i r="3">
      <x v="2"/>
    </i>
    <i r="4">
      <x v="1"/>
    </i>
    <i>
      <x v="78"/>
    </i>
    <i r="1">
      <x v="3"/>
    </i>
    <i r="2">
      <x/>
    </i>
    <i r="3">
      <x v="1"/>
    </i>
    <i r="4">
      <x v="1"/>
    </i>
    <i>
      <x v="79"/>
    </i>
    <i r="1">
      <x v="4"/>
    </i>
    <i r="2">
      <x v="1"/>
    </i>
    <i r="3">
      <x v="3"/>
    </i>
    <i r="4">
      <x v="1"/>
    </i>
    <i>
      <x v="80"/>
    </i>
    <i r="1">
      <x/>
    </i>
    <i r="2">
      <x/>
    </i>
    <i r="3">
      <x v="2"/>
    </i>
    <i r="4">
      <x v="1"/>
    </i>
    <i>
      <x v="81"/>
    </i>
    <i r="1">
      <x v="1"/>
    </i>
    <i r="2">
      <x/>
    </i>
    <i r="3">
      <x v="4"/>
    </i>
    <i r="4">
      <x/>
    </i>
    <i>
      <x v="82"/>
    </i>
    <i r="1">
      <x v="3"/>
    </i>
    <i r="2">
      <x v="1"/>
    </i>
    <i r="3">
      <x v="2"/>
    </i>
    <i r="4">
      <x v="1"/>
    </i>
    <i>
      <x v="83"/>
    </i>
    <i r="1">
      <x v="2"/>
    </i>
    <i r="2">
      <x v="1"/>
    </i>
    <i r="3">
      <x v="2"/>
    </i>
    <i r="4">
      <x v="1"/>
    </i>
    <i>
      <x v="84"/>
    </i>
    <i r="1">
      <x/>
    </i>
    <i r="2">
      <x/>
    </i>
    <i r="3">
      <x v="2"/>
    </i>
    <i r="4">
      <x v="1"/>
    </i>
    <i>
      <x v="85"/>
    </i>
    <i r="1">
      <x v="2"/>
    </i>
    <i r="2">
      <x v="1"/>
    </i>
    <i r="3">
      <x v="1"/>
    </i>
    <i r="4">
      <x v="1"/>
    </i>
    <i>
      <x v="86"/>
    </i>
    <i r="1">
      <x v="1"/>
    </i>
    <i r="2">
      <x/>
    </i>
    <i r="3">
      <x v="2"/>
    </i>
    <i r="4">
      <x v="1"/>
    </i>
    <i>
      <x v="87"/>
    </i>
    <i r="1">
      <x v="3"/>
    </i>
    <i r="2">
      <x/>
    </i>
    <i r="3">
      <x v="1"/>
    </i>
    <i r="4">
      <x v="1"/>
    </i>
    <i>
      <x v="88"/>
    </i>
    <i r="1">
      <x v="2"/>
    </i>
    <i r="2">
      <x v="1"/>
    </i>
    <i r="3">
      <x v="2"/>
    </i>
    <i r="4">
      <x v="1"/>
    </i>
    <i>
      <x v="89"/>
    </i>
    <i r="1">
      <x/>
    </i>
    <i r="2">
      <x/>
    </i>
    <i r="3">
      <x v="1"/>
    </i>
    <i r="4">
      <x v="1"/>
    </i>
    <i>
      <x v="90"/>
    </i>
    <i r="1">
      <x v="4"/>
    </i>
    <i r="2">
      <x v="1"/>
    </i>
    <i r="3">
      <x v="2"/>
    </i>
    <i r="4">
      <x v="1"/>
    </i>
    <i>
      <x v="91"/>
    </i>
    <i r="1">
      <x v="1"/>
    </i>
    <i r="2">
      <x/>
    </i>
    <i r="3">
      <x v="3"/>
    </i>
    <i r="4">
      <x v="1"/>
    </i>
    <i>
      <x v="92"/>
    </i>
    <i r="1">
      <x v="2"/>
    </i>
    <i r="2">
      <x/>
    </i>
    <i r="3">
      <x v="3"/>
    </i>
    <i r="4">
      <x v="1"/>
    </i>
    <i>
      <x v="93"/>
    </i>
    <i r="1">
      <x v="4"/>
    </i>
    <i r="2">
      <x v="1"/>
    </i>
    <i r="3">
      <x v="3"/>
    </i>
    <i r="4">
      <x v="1"/>
    </i>
    <i>
      <x v="94"/>
    </i>
    <i r="1">
      <x/>
    </i>
    <i r="2">
      <x/>
    </i>
    <i r="3">
      <x v="1"/>
    </i>
    <i r="4">
      <x v="1"/>
    </i>
    <i>
      <x v="95"/>
    </i>
    <i r="1">
      <x/>
    </i>
    <i r="2">
      <x/>
    </i>
    <i r="3">
      <x v="1"/>
    </i>
    <i r="4">
      <x v="1"/>
    </i>
    <i>
      <x v="96"/>
    </i>
    <i r="1">
      <x v="3"/>
    </i>
    <i r="2">
      <x v="1"/>
    </i>
    <i r="3">
      <x v="1"/>
    </i>
    <i r="4">
      <x v="1"/>
    </i>
    <i>
      <x v="97"/>
    </i>
    <i r="1">
      <x v="1"/>
    </i>
    <i r="2">
      <x v="1"/>
    </i>
    <i r="3">
      <x v="3"/>
    </i>
    <i r="4">
      <x v="1"/>
    </i>
    <i>
      <x v="98"/>
    </i>
    <i r="1">
      <x v="4"/>
    </i>
    <i r="2">
      <x v="1"/>
    </i>
    <i r="3">
      <x v="2"/>
    </i>
    <i r="4">
      <x v="1"/>
    </i>
    <i>
      <x v="99"/>
    </i>
    <i r="1">
      <x/>
    </i>
    <i r="2">
      <x/>
    </i>
    <i r="3">
      <x v="2"/>
    </i>
    <i r="4">
      <x v="1"/>
    </i>
    <i>
      <x v="100"/>
    </i>
    <i r="1">
      <x v="1"/>
    </i>
    <i r="2">
      <x/>
    </i>
    <i r="3">
      <x v="2"/>
    </i>
    <i r="4">
      <x v="1"/>
    </i>
    <i>
      <x v="101"/>
    </i>
    <i r="1">
      <x v="2"/>
    </i>
    <i r="2">
      <x v="1"/>
    </i>
    <i r="3">
      <x v="1"/>
    </i>
    <i r="4">
      <x v="1"/>
    </i>
    <i>
      <x v="102"/>
    </i>
    <i r="1">
      <x v="3"/>
    </i>
    <i r="2">
      <x/>
    </i>
    <i r="3">
      <x v="1"/>
    </i>
    <i r="4">
      <x v="1"/>
    </i>
    <i>
      <x v="103"/>
    </i>
    <i r="1">
      <x v="1"/>
    </i>
    <i r="2">
      <x v="1"/>
    </i>
    <i r="3">
      <x v="1"/>
    </i>
    <i r="4">
      <x v="1"/>
    </i>
    <i>
      <x v="104"/>
    </i>
    <i r="1">
      <x v="1"/>
    </i>
    <i r="2">
      <x/>
    </i>
    <i r="3">
      <x v="2"/>
    </i>
    <i r="4">
      <x v="1"/>
    </i>
    <i>
      <x v="105"/>
    </i>
    <i r="1">
      <x v="4"/>
    </i>
    <i r="2">
      <x v="1"/>
    </i>
    <i r="3">
      <x v="2"/>
    </i>
    <i r="4">
      <x v="1"/>
    </i>
    <i>
      <x v="106"/>
    </i>
    <i r="1">
      <x/>
    </i>
    <i r="2">
      <x/>
    </i>
    <i r="3">
      <x v="2"/>
    </i>
    <i r="4">
      <x v="1"/>
    </i>
    <i>
      <x v="107"/>
    </i>
    <i r="1">
      <x v="2"/>
    </i>
    <i r="2">
      <x/>
    </i>
    <i r="3">
      <x v="2"/>
    </i>
    <i r="4">
      <x v="1"/>
    </i>
    <i>
      <x v="108"/>
    </i>
    <i r="1">
      <x v="3"/>
    </i>
    <i r="2">
      <x v="1"/>
    </i>
    <i r="3">
      <x v="3"/>
    </i>
    <i r="4">
      <x v="1"/>
    </i>
    <i>
      <x v="109"/>
    </i>
    <i r="1">
      <x v="4"/>
    </i>
    <i r="2">
      <x v="1"/>
    </i>
    <i r="3">
      <x v="2"/>
    </i>
    <i r="4">
      <x v="1"/>
    </i>
    <i>
      <x v="110"/>
    </i>
    <i r="1">
      <x v="1"/>
    </i>
    <i r="2">
      <x/>
    </i>
    <i r="3">
      <x v="3"/>
    </i>
    <i r="4">
      <x v="1"/>
    </i>
    <i>
      <x v="111"/>
    </i>
    <i r="1">
      <x v="3"/>
    </i>
    <i r="2">
      <x/>
    </i>
    <i r="3">
      <x v="2"/>
    </i>
    <i r="4">
      <x v="1"/>
    </i>
    <i>
      <x v="112"/>
    </i>
    <i r="1">
      <x v="2"/>
    </i>
    <i r="2">
      <x v="1"/>
    </i>
    <i r="3">
      <x v="2"/>
    </i>
    <i r="4">
      <x v="1"/>
    </i>
    <i>
      <x v="113"/>
    </i>
    <i r="1">
      <x v="1"/>
    </i>
    <i r="2">
      <x v="1"/>
    </i>
    <i r="3">
      <x v="1"/>
    </i>
    <i r="4">
      <x v="1"/>
    </i>
    <i>
      <x v="114"/>
    </i>
    <i r="1">
      <x v="4"/>
    </i>
    <i r="2">
      <x/>
    </i>
    <i r="3">
      <x v="1"/>
    </i>
    <i r="4">
      <x v="1"/>
    </i>
    <i>
      <x v="115"/>
    </i>
    <i r="1">
      <x/>
    </i>
    <i r="2">
      <x v="1"/>
    </i>
    <i r="3">
      <x v="1"/>
    </i>
    <i r="4">
      <x v="1"/>
    </i>
    <i>
      <x v="116"/>
    </i>
    <i r="1">
      <x v="2"/>
    </i>
    <i r="2">
      <x/>
    </i>
    <i r="3">
      <x v="3"/>
    </i>
    <i r="4">
      <x v="1"/>
    </i>
    <i>
      <x v="117"/>
    </i>
    <i r="1">
      <x v="1"/>
    </i>
    <i r="2">
      <x/>
    </i>
    <i r="3">
      <x v="3"/>
    </i>
    <i r="4">
      <x v="1"/>
    </i>
    <i>
      <x v="118"/>
    </i>
    <i r="1">
      <x v="3"/>
    </i>
    <i r="2">
      <x v="1"/>
    </i>
    <i r="3">
      <x v="1"/>
    </i>
    <i r="4">
      <x v="1"/>
    </i>
    <i>
      <x v="119"/>
    </i>
    <i r="1">
      <x v="1"/>
    </i>
    <i r="2">
      <x v="1"/>
    </i>
    <i r="3">
      <x v="2"/>
    </i>
    <i r="4">
      <x v="1"/>
    </i>
    <i>
      <x v="120"/>
    </i>
    <i r="1">
      <x v="4"/>
    </i>
    <i r="2">
      <x/>
    </i>
    <i r="3">
      <x v="2"/>
    </i>
    <i r="4">
      <x v="1"/>
    </i>
    <i>
      <x v="121"/>
    </i>
    <i r="1">
      <x v="1"/>
    </i>
    <i r="2">
      <x v="1"/>
    </i>
    <i r="3">
      <x v="1"/>
    </i>
    <i r="4">
      <x v="1"/>
    </i>
    <i>
      <x v="122"/>
    </i>
    <i r="1">
      <x v="2"/>
    </i>
    <i r="2">
      <x v="1"/>
    </i>
    <i r="3">
      <x v="3"/>
    </i>
    <i r="4">
      <x v="1"/>
    </i>
    <i>
      <x v="123"/>
    </i>
    <i r="1">
      <x v="3"/>
    </i>
    <i r="2">
      <x/>
    </i>
    <i r="3">
      <x v="2"/>
    </i>
    <i r="4">
      <x v="1"/>
    </i>
    <i>
      <x v="124"/>
    </i>
    <i r="1">
      <x v="4"/>
    </i>
    <i r="2">
      <x v="1"/>
    </i>
    <i r="3">
      <x v="3"/>
    </i>
    <i r="4">
      <x v="1"/>
    </i>
    <i>
      <x v="125"/>
    </i>
    <i r="1">
      <x/>
    </i>
    <i r="2">
      <x/>
    </i>
    <i r="3">
      <x v="2"/>
    </i>
    <i r="4">
      <x v="1"/>
    </i>
    <i>
      <x v="126"/>
    </i>
    <i r="1">
      <x v="2"/>
    </i>
    <i r="2">
      <x/>
    </i>
    <i r="3">
      <x v="2"/>
    </i>
    <i r="4">
      <x v="1"/>
    </i>
    <i>
      <x v="127"/>
    </i>
    <i r="1">
      <x v="1"/>
    </i>
    <i r="2">
      <x v="1"/>
    </i>
    <i r="3">
      <x v="2"/>
    </i>
    <i r="4">
      <x v="1"/>
    </i>
    <i>
      <x v="128"/>
    </i>
    <i r="1">
      <x v="3"/>
    </i>
    <i r="2">
      <x v="1"/>
    </i>
    <i r="3">
      <x v="2"/>
    </i>
    <i r="4">
      <x v="1"/>
    </i>
    <i>
      <x v="129"/>
    </i>
    <i r="1">
      <x v="1"/>
    </i>
    <i r="2">
      <x/>
    </i>
    <i r="3">
      <x v="1"/>
    </i>
    <i r="4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rcentage " fld="11" baseField="0" baseItem="0"/>
    <dataField name="Sum of Average " fld="15" baseField="0" baseItem="0"/>
  </dataFields>
  <formats count="528">
    <format dxfId="535">
      <pivotArea type="all" dataOnly="0" outline="0" fieldPosition="0"/>
    </format>
    <format dxfId="534">
      <pivotArea outline="0" collapsedLevelsAreSubtotals="1" fieldPosition="0"/>
    </format>
    <format dxfId="533">
      <pivotArea field="0" type="button" dataOnly="0" labelOnly="1" outline="0" axis="axisRow" fieldPosition="0"/>
    </format>
    <format dxfId="53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30">
      <pivotArea dataOnly="0" labelOnly="1" fieldPosition="0">
        <references count="1">
          <reference field="0" count="3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529">
      <pivotArea dataOnly="0" labelOnly="1" grandRow="1" outline="0" fieldPosition="0"/>
    </format>
    <format dxfId="528">
      <pivotArea dataOnly="0" labelOnly="1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527">
      <pivotArea dataOnly="0" labelOnly="1" fieldPosition="0">
        <references count="2">
          <reference field="0" count="1" selected="0">
            <x v="1"/>
          </reference>
          <reference field="2" count="1">
            <x v="3"/>
          </reference>
        </references>
      </pivotArea>
    </format>
    <format dxfId="526">
      <pivotArea dataOnly="0" labelOnly="1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525">
      <pivotArea dataOnly="0" labelOnly="1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524">
      <pivotArea dataOnly="0" labelOnly="1" fieldPosition="0">
        <references count="2">
          <reference field="0" count="1" selected="0">
            <x v="4"/>
          </reference>
          <reference field="2" count="1">
            <x v="1"/>
          </reference>
        </references>
      </pivotArea>
    </format>
    <format dxfId="523">
      <pivotArea dataOnly="0" labelOnly="1" fieldPosition="0">
        <references count="2">
          <reference field="0" count="1" selected="0">
            <x v="5"/>
          </reference>
          <reference field="2" count="1">
            <x v="0"/>
          </reference>
        </references>
      </pivotArea>
    </format>
    <format dxfId="522">
      <pivotArea dataOnly="0" labelOnly="1" fieldPosition="0">
        <references count="2">
          <reference field="0" count="1" selected="0">
            <x v="6"/>
          </reference>
          <reference field="2" count="1">
            <x v="2"/>
          </reference>
        </references>
      </pivotArea>
    </format>
    <format dxfId="521">
      <pivotArea dataOnly="0" labelOnly="1" fieldPosition="0">
        <references count="2">
          <reference field="0" count="1" selected="0">
            <x v="7"/>
          </reference>
          <reference field="2" count="1">
            <x v="3"/>
          </reference>
        </references>
      </pivotArea>
    </format>
    <format dxfId="520">
      <pivotArea dataOnly="0" labelOnly="1" fieldPosition="0">
        <references count="2">
          <reference field="0" count="1" selected="0">
            <x v="8"/>
          </reference>
          <reference field="2" count="1">
            <x v="1"/>
          </reference>
        </references>
      </pivotArea>
    </format>
    <format dxfId="519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518">
      <pivotArea dataOnly="0" labelOnly="1" fieldPosition="0">
        <references count="2">
          <reference field="0" count="1" selected="0">
            <x v="10"/>
          </reference>
          <reference field="2" count="1">
            <x v="2"/>
          </reference>
        </references>
      </pivotArea>
    </format>
    <format dxfId="517">
      <pivotArea dataOnly="0" labelOnly="1" fieldPosition="0">
        <references count="2">
          <reference field="0" count="1" selected="0">
            <x v="11"/>
          </reference>
          <reference field="2" count="1">
            <x v="0"/>
          </reference>
        </references>
      </pivotArea>
    </format>
    <format dxfId="516">
      <pivotArea dataOnly="0" labelOnly="1" fieldPosition="0">
        <references count="2">
          <reference field="0" count="1" selected="0">
            <x v="12"/>
          </reference>
          <reference field="2" count="1">
            <x v="3"/>
          </reference>
        </references>
      </pivotArea>
    </format>
    <format dxfId="515">
      <pivotArea dataOnly="0" labelOnly="1" fieldPosition="0">
        <references count="2">
          <reference field="0" count="1" selected="0">
            <x v="13"/>
          </reference>
          <reference field="2" count="1">
            <x v="4"/>
          </reference>
        </references>
      </pivotArea>
    </format>
    <format dxfId="514">
      <pivotArea dataOnly="0" labelOnly="1" fieldPosition="0">
        <references count="2">
          <reference field="0" count="1" selected="0">
            <x v="14"/>
          </reference>
          <reference field="2" count="1">
            <x v="2"/>
          </reference>
        </references>
      </pivotArea>
    </format>
    <format dxfId="513">
      <pivotArea dataOnly="0" labelOnly="1" fieldPosition="0">
        <references count="2">
          <reference field="0" count="1" selected="0">
            <x v="15"/>
          </reference>
          <reference field="2" count="1">
            <x v="0"/>
          </reference>
        </references>
      </pivotArea>
    </format>
    <format dxfId="512">
      <pivotArea dataOnly="0" labelOnly="1" fieldPosition="0">
        <references count="2">
          <reference field="0" count="1" selected="0">
            <x v="16"/>
          </reference>
          <reference field="2" count="1">
            <x v="3"/>
          </reference>
        </references>
      </pivotArea>
    </format>
    <format dxfId="511">
      <pivotArea dataOnly="0" labelOnly="1" fieldPosition="0">
        <references count="2">
          <reference field="0" count="1" selected="0">
            <x v="17"/>
          </reference>
          <reference field="2" count="1">
            <x v="4"/>
          </reference>
        </references>
      </pivotArea>
    </format>
    <format dxfId="510">
      <pivotArea dataOnly="0" labelOnly="1" fieldPosition="0">
        <references count="2">
          <reference field="0" count="1" selected="0">
            <x v="18"/>
          </reference>
          <reference field="2" count="1">
            <x v="2"/>
          </reference>
        </references>
      </pivotArea>
    </format>
    <format dxfId="509">
      <pivotArea dataOnly="0" labelOnly="1" fieldPosition="0">
        <references count="2">
          <reference field="0" count="1" selected="0">
            <x v="19"/>
          </reference>
          <reference field="2" count="1">
            <x v="0"/>
          </reference>
        </references>
      </pivotArea>
    </format>
    <format dxfId="508">
      <pivotArea dataOnly="0" labelOnly="1" fieldPosition="0">
        <references count="2">
          <reference field="0" count="1" selected="0">
            <x v="20"/>
          </reference>
          <reference field="2" count="1">
            <x v="3"/>
          </reference>
        </references>
      </pivotArea>
    </format>
    <format dxfId="507">
      <pivotArea dataOnly="0" labelOnly="1" fieldPosition="0">
        <references count="2">
          <reference field="0" count="1" selected="0">
            <x v="21"/>
          </reference>
          <reference field="2" count="1">
            <x v="2"/>
          </reference>
        </references>
      </pivotArea>
    </format>
    <format dxfId="506">
      <pivotArea dataOnly="0" labelOnly="1" fieldPosition="0">
        <references count="2">
          <reference field="0" count="1" selected="0">
            <x v="22"/>
          </reference>
          <reference field="2" count="1">
            <x v="0"/>
          </reference>
        </references>
      </pivotArea>
    </format>
    <format dxfId="505">
      <pivotArea dataOnly="0" labelOnly="1" fieldPosition="0">
        <references count="2">
          <reference field="0" count="1" selected="0">
            <x v="23"/>
          </reference>
          <reference field="2" count="1">
            <x v="1"/>
          </reference>
        </references>
      </pivotArea>
    </format>
    <format dxfId="504">
      <pivotArea dataOnly="0" labelOnly="1" fieldPosition="0">
        <references count="2">
          <reference field="0" count="1" selected="0">
            <x v="24"/>
          </reference>
          <reference field="2" count="1">
            <x v="2"/>
          </reference>
        </references>
      </pivotArea>
    </format>
    <format dxfId="503">
      <pivotArea dataOnly="0" labelOnly="1" fieldPosition="0">
        <references count="2">
          <reference field="0" count="1" selected="0">
            <x v="25"/>
          </reference>
          <reference field="2" count="1">
            <x v="0"/>
          </reference>
        </references>
      </pivotArea>
    </format>
    <format dxfId="502">
      <pivotArea dataOnly="0" labelOnly="1" fieldPosition="0">
        <references count="2">
          <reference field="0" count="1" selected="0">
            <x v="26"/>
          </reference>
          <reference field="2" count="1">
            <x v="0"/>
          </reference>
        </references>
      </pivotArea>
    </format>
    <format dxfId="501">
      <pivotArea dataOnly="0" labelOnly="1" fieldPosition="0">
        <references count="2">
          <reference field="0" count="1" selected="0">
            <x v="27"/>
          </reference>
          <reference field="2" count="1">
            <x v="4"/>
          </reference>
        </references>
      </pivotArea>
    </format>
    <format dxfId="500">
      <pivotArea dataOnly="0" labelOnly="1" fieldPosition="0">
        <references count="2">
          <reference field="0" count="1" selected="0">
            <x v="28"/>
          </reference>
          <reference field="2" count="1">
            <x v="3"/>
          </reference>
        </references>
      </pivotArea>
    </format>
    <format dxfId="499">
      <pivotArea dataOnly="0" labelOnly="1" fieldPosition="0">
        <references count="2">
          <reference field="0" count="1" selected="0">
            <x v="29"/>
          </reference>
          <reference field="2" count="1">
            <x v="2"/>
          </reference>
        </references>
      </pivotArea>
    </format>
    <format dxfId="498">
      <pivotArea dataOnly="0" labelOnly="1" fieldPosition="0">
        <references count="2">
          <reference field="0" count="1" selected="0">
            <x v="30"/>
          </reference>
          <reference field="2" count="1">
            <x v="3"/>
          </reference>
        </references>
      </pivotArea>
    </format>
    <format dxfId="497">
      <pivotArea dataOnly="0" labelOnly="1" fieldPosition="0">
        <references count="2">
          <reference field="0" count="1" selected="0">
            <x v="31"/>
          </reference>
          <reference field="2" count="1">
            <x v="0"/>
          </reference>
        </references>
      </pivotArea>
    </format>
    <format dxfId="496">
      <pivotArea dataOnly="0" labelOnly="1" fieldPosition="0">
        <references count="2">
          <reference field="0" count="1" selected="0">
            <x v="32"/>
          </reference>
          <reference field="2" count="1">
            <x v="1"/>
          </reference>
        </references>
      </pivotArea>
    </format>
    <format dxfId="495">
      <pivotArea dataOnly="0" labelOnly="1" fieldPosition="0">
        <references count="2">
          <reference field="0" count="1" selected="0">
            <x v="33"/>
          </reference>
          <reference field="2" count="1">
            <x v="4"/>
          </reference>
        </references>
      </pivotArea>
    </format>
    <format dxfId="494">
      <pivotArea dataOnly="0" labelOnly="1" fieldPosition="0">
        <references count="2">
          <reference field="0" count="1" selected="0">
            <x v="34"/>
          </reference>
          <reference field="2" count="1">
            <x v="2"/>
          </reference>
        </references>
      </pivotArea>
    </format>
    <format dxfId="493">
      <pivotArea dataOnly="0" labelOnly="1" fieldPosition="0">
        <references count="2">
          <reference field="0" count="1" selected="0">
            <x v="35"/>
          </reference>
          <reference field="2" count="1">
            <x v="4"/>
          </reference>
        </references>
      </pivotArea>
    </format>
    <format dxfId="492">
      <pivotArea dataOnly="0" labelOnly="1" fieldPosition="0">
        <references count="2">
          <reference field="0" count="1" selected="0">
            <x v="36"/>
          </reference>
          <reference field="2" count="1">
            <x v="3"/>
          </reference>
        </references>
      </pivotArea>
    </format>
    <format dxfId="491">
      <pivotArea dataOnly="0" labelOnly="1" fieldPosition="0">
        <references count="2">
          <reference field="0" count="1" selected="0">
            <x v="37"/>
          </reference>
          <reference field="2" count="1">
            <x v="0"/>
          </reference>
        </references>
      </pivotArea>
    </format>
    <format dxfId="490">
      <pivotArea dataOnly="0" labelOnly="1" fieldPosition="0">
        <references count="2">
          <reference field="0" count="1" selected="0">
            <x v="38"/>
          </reference>
          <reference field="2" count="1">
            <x v="4"/>
          </reference>
        </references>
      </pivotArea>
    </format>
    <format dxfId="489">
      <pivotArea dataOnly="0" labelOnly="1" fieldPosition="0">
        <references count="2">
          <reference field="0" count="1" selected="0">
            <x v="39"/>
          </reference>
          <reference field="2" count="1">
            <x v="2"/>
          </reference>
        </references>
      </pivotArea>
    </format>
    <format dxfId="488">
      <pivotArea dataOnly="0" labelOnly="1" fieldPosition="0">
        <references count="2">
          <reference field="0" count="1" selected="0">
            <x v="40"/>
          </reference>
          <reference field="2" count="1">
            <x v="3"/>
          </reference>
        </references>
      </pivotArea>
    </format>
    <format dxfId="487">
      <pivotArea dataOnly="0" labelOnly="1" fieldPosition="0">
        <references count="2">
          <reference field="0" count="1" selected="0">
            <x v="41"/>
          </reference>
          <reference field="2" count="1">
            <x v="1"/>
          </reference>
        </references>
      </pivotArea>
    </format>
    <format dxfId="486">
      <pivotArea dataOnly="0" labelOnly="1" fieldPosition="0">
        <references count="2">
          <reference field="0" count="1" selected="0">
            <x v="42"/>
          </reference>
          <reference field="2" count="1">
            <x v="0"/>
          </reference>
        </references>
      </pivotArea>
    </format>
    <format dxfId="485">
      <pivotArea dataOnly="0" labelOnly="1" fieldPosition="0">
        <references count="2">
          <reference field="0" count="1" selected="0">
            <x v="43"/>
          </reference>
          <reference field="2" count="1">
            <x v="4"/>
          </reference>
        </references>
      </pivotArea>
    </format>
    <format dxfId="484">
      <pivotArea dataOnly="0" labelOnly="1" fieldPosition="0">
        <references count="2">
          <reference field="0" count="1" selected="0">
            <x v="44"/>
          </reference>
          <reference field="2" count="1">
            <x v="2"/>
          </reference>
        </references>
      </pivotArea>
    </format>
    <format dxfId="483">
      <pivotArea dataOnly="0" labelOnly="1" fieldPosition="0">
        <references count="2">
          <reference field="0" count="1" selected="0">
            <x v="45"/>
          </reference>
          <reference field="2" count="1">
            <x v="3"/>
          </reference>
        </references>
      </pivotArea>
    </format>
    <format dxfId="482">
      <pivotArea dataOnly="0" labelOnly="1" fieldPosition="0">
        <references count="2">
          <reference field="0" count="1" selected="0">
            <x v="46"/>
          </reference>
          <reference field="2" count="1">
            <x v="4"/>
          </reference>
        </references>
      </pivotArea>
    </format>
    <format dxfId="481">
      <pivotArea dataOnly="0" labelOnly="1" fieldPosition="0">
        <references count="2">
          <reference field="0" count="1" selected="0">
            <x v="47"/>
          </reference>
          <reference field="2" count="1">
            <x v="1"/>
          </reference>
        </references>
      </pivotArea>
    </format>
    <format dxfId="480">
      <pivotArea dataOnly="0" labelOnly="1" fieldPosition="0">
        <references count="2">
          <reference field="0" count="1" selected="0">
            <x v="48"/>
          </reference>
          <reference field="2" count="1">
            <x v="0"/>
          </reference>
        </references>
      </pivotArea>
    </format>
    <format dxfId="479">
      <pivotArea dataOnly="0" labelOnly="1" fieldPosition="0">
        <references count="2">
          <reference field="0" count="1" selected="0">
            <x v="49"/>
          </reference>
          <reference field="2" count="1">
            <x v="2"/>
          </reference>
        </references>
      </pivotArea>
    </format>
    <format dxfId="478">
      <pivotArea dataOnly="0" labelOnly="1" fieldPosition="0">
        <references count="2">
          <reference field="0" count="1" selected="0">
            <x v="50"/>
          </reference>
          <reference field="2" count="1">
            <x v="4"/>
          </reference>
        </references>
      </pivotArea>
    </format>
    <format dxfId="477">
      <pivotArea dataOnly="0" labelOnly="1" fieldPosition="0">
        <references count="2">
          <reference field="0" count="1" selected="0">
            <x v="51"/>
          </reference>
          <reference field="2" count="1">
            <x v="1"/>
          </reference>
        </references>
      </pivotArea>
    </format>
    <format dxfId="476">
      <pivotArea dataOnly="0" labelOnly="1" fieldPosition="0">
        <references count="2">
          <reference field="0" count="1" selected="0">
            <x v="52"/>
          </reference>
          <reference field="2" count="1">
            <x v="3"/>
          </reference>
        </references>
      </pivotArea>
    </format>
    <format dxfId="475">
      <pivotArea dataOnly="0" labelOnly="1" fieldPosition="0">
        <references count="2">
          <reference field="0" count="1" selected="0">
            <x v="53"/>
          </reference>
          <reference field="2" count="1">
            <x v="0"/>
          </reference>
        </references>
      </pivotArea>
    </format>
    <format dxfId="474">
      <pivotArea dataOnly="0" labelOnly="1" fieldPosition="0">
        <references count="2">
          <reference field="0" count="1" selected="0">
            <x v="54"/>
          </reference>
          <reference field="2" count="1">
            <x v="4"/>
          </reference>
        </references>
      </pivotArea>
    </format>
    <format dxfId="473">
      <pivotArea dataOnly="0" labelOnly="1" fieldPosition="0">
        <references count="2">
          <reference field="0" count="1" selected="0">
            <x v="55"/>
          </reference>
          <reference field="2" count="1">
            <x v="2"/>
          </reference>
        </references>
      </pivotArea>
    </format>
    <format dxfId="472">
      <pivotArea dataOnly="0" labelOnly="1" fieldPosition="0">
        <references count="2">
          <reference field="0" count="1" selected="0">
            <x v="56"/>
          </reference>
          <reference field="2" count="1">
            <x v="4"/>
          </reference>
        </references>
      </pivotArea>
    </format>
    <format dxfId="471">
      <pivotArea dataOnly="0" labelOnly="1" fieldPosition="0">
        <references count="2">
          <reference field="0" count="1" selected="0">
            <x v="57"/>
          </reference>
          <reference field="2" count="1">
            <x v="1"/>
          </reference>
        </references>
      </pivotArea>
    </format>
    <format dxfId="470">
      <pivotArea dataOnly="0" labelOnly="1" fieldPosition="0">
        <references count="2">
          <reference field="0" count="1" selected="0">
            <x v="58"/>
          </reference>
          <reference field="2" count="1">
            <x v="0"/>
          </reference>
        </references>
      </pivotArea>
    </format>
    <format dxfId="469">
      <pivotArea dataOnly="0" labelOnly="1" fieldPosition="0">
        <references count="2">
          <reference field="0" count="1" selected="0">
            <x v="59"/>
          </reference>
          <reference field="2" count="1">
            <x v="3"/>
          </reference>
        </references>
      </pivotArea>
    </format>
    <format dxfId="468">
      <pivotArea dataOnly="0" labelOnly="1" fieldPosition="0">
        <references count="2">
          <reference field="0" count="1" selected="0">
            <x v="60"/>
          </reference>
          <reference field="2" count="1">
            <x v="4"/>
          </reference>
        </references>
      </pivotArea>
    </format>
    <format dxfId="467">
      <pivotArea dataOnly="0" labelOnly="1" fieldPosition="0">
        <references count="2">
          <reference field="0" count="1" selected="0">
            <x v="61"/>
          </reference>
          <reference field="2" count="1">
            <x v="2"/>
          </reference>
        </references>
      </pivotArea>
    </format>
    <format dxfId="466">
      <pivotArea dataOnly="0" labelOnly="1" fieldPosition="0">
        <references count="2">
          <reference field="0" count="1" selected="0">
            <x v="62"/>
          </reference>
          <reference field="2" count="1">
            <x v="3"/>
          </reference>
        </references>
      </pivotArea>
    </format>
    <format dxfId="465">
      <pivotArea dataOnly="0" labelOnly="1" fieldPosition="0">
        <references count="2">
          <reference field="0" count="1" selected="0">
            <x v="63"/>
          </reference>
          <reference field="2" count="1">
            <x v="0"/>
          </reference>
        </references>
      </pivotArea>
    </format>
    <format dxfId="464">
      <pivotArea dataOnly="0" labelOnly="1" fieldPosition="0">
        <references count="2">
          <reference field="0" count="1" selected="0">
            <x v="64"/>
          </reference>
          <reference field="2" count="1">
            <x v="4"/>
          </reference>
        </references>
      </pivotArea>
    </format>
    <format dxfId="463">
      <pivotArea dataOnly="0" labelOnly="1" fieldPosition="0">
        <references count="2">
          <reference field="0" count="1" selected="0">
            <x v="65"/>
          </reference>
          <reference field="2" count="1">
            <x v="2"/>
          </reference>
        </references>
      </pivotArea>
    </format>
    <format dxfId="462">
      <pivotArea dataOnly="0" labelOnly="1" fieldPosition="0">
        <references count="2">
          <reference field="0" count="1" selected="0">
            <x v="66"/>
          </reference>
          <reference field="2" count="1">
            <x v="1"/>
          </reference>
        </references>
      </pivotArea>
    </format>
    <format dxfId="461">
      <pivotArea dataOnly="0" labelOnly="1" fieldPosition="0">
        <references count="2">
          <reference field="0" count="1" selected="0">
            <x v="67"/>
          </reference>
          <reference field="2" count="1">
            <x v="0"/>
          </reference>
        </references>
      </pivotArea>
    </format>
    <format dxfId="460">
      <pivotArea dataOnly="0" labelOnly="1" fieldPosition="0">
        <references count="2">
          <reference field="0" count="1" selected="0">
            <x v="68"/>
          </reference>
          <reference field="2" count="1">
            <x v="4"/>
          </reference>
        </references>
      </pivotArea>
    </format>
    <format dxfId="459">
      <pivotArea dataOnly="0" labelOnly="1" fieldPosition="0">
        <references count="2">
          <reference field="0" count="1" selected="0">
            <x v="69"/>
          </reference>
          <reference field="2" count="1">
            <x v="3"/>
          </reference>
        </references>
      </pivotArea>
    </format>
    <format dxfId="458">
      <pivotArea dataOnly="0" labelOnly="1" fieldPosition="0">
        <references count="2">
          <reference field="0" count="1" selected="0">
            <x v="70"/>
          </reference>
          <reference field="2" count="1">
            <x v="2"/>
          </reference>
        </references>
      </pivotArea>
    </format>
    <format dxfId="457">
      <pivotArea dataOnly="0" labelOnly="1" fieldPosition="0">
        <references count="2">
          <reference field="0" count="1" selected="0">
            <x v="71"/>
          </reference>
          <reference field="2" count="1">
            <x v="0"/>
          </reference>
        </references>
      </pivotArea>
    </format>
    <format dxfId="456">
      <pivotArea dataOnly="0" labelOnly="1" fieldPosition="0">
        <references count="2">
          <reference field="0" count="1" selected="0">
            <x v="72"/>
          </reference>
          <reference field="2" count="1">
            <x v="1"/>
          </reference>
        </references>
      </pivotArea>
    </format>
    <format dxfId="455">
      <pivotArea dataOnly="0" labelOnly="1" fieldPosition="0">
        <references count="2">
          <reference field="0" count="1" selected="0">
            <x v="73"/>
          </reference>
          <reference field="2" count="1">
            <x v="3"/>
          </reference>
        </references>
      </pivotArea>
    </format>
    <format dxfId="454">
      <pivotArea dataOnly="0" labelOnly="1" fieldPosition="0">
        <references count="2">
          <reference field="0" count="1" selected="0">
            <x v="74"/>
          </reference>
          <reference field="2" count="1">
            <x v="1"/>
          </reference>
        </references>
      </pivotArea>
    </format>
    <format dxfId="453">
      <pivotArea dataOnly="0" labelOnly="1" fieldPosition="0">
        <references count="2">
          <reference field="0" count="1" selected="0">
            <x v="75"/>
          </reference>
          <reference field="2" count="1">
            <x v="2"/>
          </reference>
        </references>
      </pivotArea>
    </format>
    <format dxfId="452">
      <pivotArea dataOnly="0" labelOnly="1" fieldPosition="0">
        <references count="2">
          <reference field="0" count="1" selected="0">
            <x v="76"/>
          </reference>
          <reference field="2" count="1">
            <x v="0"/>
          </reference>
        </references>
      </pivotArea>
    </format>
    <format dxfId="451">
      <pivotArea dataOnly="0" labelOnly="1" fieldPosition="0">
        <references count="2">
          <reference field="0" count="1" selected="0">
            <x v="77"/>
          </reference>
          <reference field="2" count="1">
            <x v="1"/>
          </reference>
        </references>
      </pivotArea>
    </format>
    <format dxfId="450">
      <pivotArea dataOnly="0" labelOnly="1" fieldPosition="0">
        <references count="2">
          <reference field="0" count="1" selected="0">
            <x v="78"/>
          </reference>
          <reference field="2" count="1">
            <x v="3"/>
          </reference>
        </references>
      </pivotArea>
    </format>
    <format dxfId="449">
      <pivotArea dataOnly="0" labelOnly="1" fieldPosition="0">
        <references count="2">
          <reference field="0" count="1" selected="0">
            <x v="79"/>
          </reference>
          <reference field="2" count="1">
            <x v="4"/>
          </reference>
        </references>
      </pivotArea>
    </format>
    <format dxfId="448">
      <pivotArea dataOnly="0" labelOnly="1" fieldPosition="0">
        <references count="2">
          <reference field="0" count="1" selected="0">
            <x v="80"/>
          </reference>
          <reference field="2" count="1">
            <x v="0"/>
          </reference>
        </references>
      </pivotArea>
    </format>
    <format dxfId="447">
      <pivotArea dataOnly="0" labelOnly="1" fieldPosition="0">
        <references count="2">
          <reference field="0" count="1" selected="0">
            <x v="81"/>
          </reference>
          <reference field="2" count="1">
            <x v="1"/>
          </reference>
        </references>
      </pivotArea>
    </format>
    <format dxfId="446">
      <pivotArea dataOnly="0" labelOnly="1" fieldPosition="0">
        <references count="2">
          <reference field="0" count="1" selected="0">
            <x v="82"/>
          </reference>
          <reference field="2" count="1">
            <x v="3"/>
          </reference>
        </references>
      </pivotArea>
    </format>
    <format dxfId="445">
      <pivotArea dataOnly="0" labelOnly="1" fieldPosition="0">
        <references count="2">
          <reference field="0" count="1" selected="0">
            <x v="83"/>
          </reference>
          <reference field="2" count="1">
            <x v="2"/>
          </reference>
        </references>
      </pivotArea>
    </format>
    <format dxfId="444">
      <pivotArea dataOnly="0" labelOnly="1" fieldPosition="0">
        <references count="2">
          <reference field="0" count="1" selected="0">
            <x v="84"/>
          </reference>
          <reference field="2" count="1">
            <x v="0"/>
          </reference>
        </references>
      </pivotArea>
    </format>
    <format dxfId="443">
      <pivotArea dataOnly="0" labelOnly="1" fieldPosition="0">
        <references count="2">
          <reference field="0" count="1" selected="0">
            <x v="85"/>
          </reference>
          <reference field="2" count="1">
            <x v="2"/>
          </reference>
        </references>
      </pivotArea>
    </format>
    <format dxfId="442">
      <pivotArea dataOnly="0" labelOnly="1" fieldPosition="0">
        <references count="2">
          <reference field="0" count="1" selected="0">
            <x v="86"/>
          </reference>
          <reference field="2" count="1">
            <x v="1"/>
          </reference>
        </references>
      </pivotArea>
    </format>
    <format dxfId="441">
      <pivotArea dataOnly="0" labelOnly="1" fieldPosition="0">
        <references count="2">
          <reference field="0" count="1" selected="0">
            <x v="87"/>
          </reference>
          <reference field="2" count="1">
            <x v="3"/>
          </reference>
        </references>
      </pivotArea>
    </format>
    <format dxfId="440">
      <pivotArea dataOnly="0" labelOnly="1" fieldPosition="0">
        <references count="2">
          <reference field="0" count="1" selected="0">
            <x v="88"/>
          </reference>
          <reference field="2" count="1">
            <x v="2"/>
          </reference>
        </references>
      </pivotArea>
    </format>
    <format dxfId="439">
      <pivotArea dataOnly="0" labelOnly="1" fieldPosition="0">
        <references count="2">
          <reference field="0" count="1" selected="0">
            <x v="89"/>
          </reference>
          <reference field="2" count="1">
            <x v="0"/>
          </reference>
        </references>
      </pivotArea>
    </format>
    <format dxfId="438">
      <pivotArea dataOnly="0" labelOnly="1" fieldPosition="0">
        <references count="2">
          <reference field="0" count="1" selected="0">
            <x v="90"/>
          </reference>
          <reference field="2" count="1">
            <x v="4"/>
          </reference>
        </references>
      </pivotArea>
    </format>
    <format dxfId="437">
      <pivotArea dataOnly="0" labelOnly="1" fieldPosition="0">
        <references count="2">
          <reference field="0" count="1" selected="0">
            <x v="91"/>
          </reference>
          <reference field="2" count="1">
            <x v="1"/>
          </reference>
        </references>
      </pivotArea>
    </format>
    <format dxfId="436">
      <pivotArea dataOnly="0" labelOnly="1" fieldPosition="0">
        <references count="2">
          <reference field="0" count="1" selected="0">
            <x v="92"/>
          </reference>
          <reference field="2" count="1">
            <x v="2"/>
          </reference>
        </references>
      </pivotArea>
    </format>
    <format dxfId="435">
      <pivotArea dataOnly="0" labelOnly="1" fieldPosition="0">
        <references count="2">
          <reference field="0" count="1" selected="0">
            <x v="93"/>
          </reference>
          <reference field="2" count="1">
            <x v="4"/>
          </reference>
        </references>
      </pivotArea>
    </format>
    <format dxfId="434">
      <pivotArea dataOnly="0" labelOnly="1" fieldPosition="0">
        <references count="2">
          <reference field="0" count="1" selected="0">
            <x v="94"/>
          </reference>
          <reference field="2" count="1">
            <x v="0"/>
          </reference>
        </references>
      </pivotArea>
    </format>
    <format dxfId="433">
      <pivotArea dataOnly="0" labelOnly="1" fieldPosition="0">
        <references count="2">
          <reference field="0" count="1" selected="0">
            <x v="95"/>
          </reference>
          <reference field="2" count="1">
            <x v="0"/>
          </reference>
        </references>
      </pivotArea>
    </format>
    <format dxfId="432">
      <pivotArea dataOnly="0" labelOnly="1" fieldPosition="0">
        <references count="2">
          <reference field="0" count="1" selected="0">
            <x v="96"/>
          </reference>
          <reference field="2" count="1">
            <x v="3"/>
          </reference>
        </references>
      </pivotArea>
    </format>
    <format dxfId="431">
      <pivotArea dataOnly="0" labelOnly="1" fieldPosition="0">
        <references count="2">
          <reference field="0" count="1" selected="0">
            <x v="97"/>
          </reference>
          <reference field="2" count="1">
            <x v="1"/>
          </reference>
        </references>
      </pivotArea>
    </format>
    <format dxfId="430">
      <pivotArea dataOnly="0" labelOnly="1" fieldPosition="0">
        <references count="2">
          <reference field="0" count="1" selected="0">
            <x v="98"/>
          </reference>
          <reference field="2" count="1">
            <x v="4"/>
          </reference>
        </references>
      </pivotArea>
    </format>
    <format dxfId="429">
      <pivotArea dataOnly="0" labelOnly="1" fieldPosition="0">
        <references count="2">
          <reference field="0" count="1" selected="0">
            <x v="99"/>
          </reference>
          <reference field="2" count="1">
            <x v="0"/>
          </reference>
        </references>
      </pivotArea>
    </format>
    <format dxfId="428">
      <pivotArea dataOnly="0" labelOnly="1" fieldPosition="0">
        <references count="2">
          <reference field="0" count="1" selected="0">
            <x v="100"/>
          </reference>
          <reference field="2" count="1">
            <x v="1"/>
          </reference>
        </references>
      </pivotArea>
    </format>
    <format dxfId="427">
      <pivotArea dataOnly="0" labelOnly="1" fieldPosition="0">
        <references count="2">
          <reference field="0" count="1" selected="0">
            <x v="101"/>
          </reference>
          <reference field="2" count="1">
            <x v="2"/>
          </reference>
        </references>
      </pivotArea>
    </format>
    <format dxfId="426">
      <pivotArea dataOnly="0" labelOnly="1" fieldPosition="0">
        <references count="2">
          <reference field="0" count="1" selected="0">
            <x v="102"/>
          </reference>
          <reference field="2" count="1">
            <x v="3"/>
          </reference>
        </references>
      </pivotArea>
    </format>
    <format dxfId="425">
      <pivotArea dataOnly="0" labelOnly="1" fieldPosition="0">
        <references count="2">
          <reference field="0" count="1" selected="0">
            <x v="103"/>
          </reference>
          <reference field="2" count="1">
            <x v="1"/>
          </reference>
        </references>
      </pivotArea>
    </format>
    <format dxfId="424">
      <pivotArea dataOnly="0" labelOnly="1" fieldPosition="0">
        <references count="2">
          <reference field="0" count="1" selected="0">
            <x v="104"/>
          </reference>
          <reference field="2" count="1">
            <x v="1"/>
          </reference>
        </references>
      </pivotArea>
    </format>
    <format dxfId="423">
      <pivotArea dataOnly="0" labelOnly="1" fieldPosition="0">
        <references count="2">
          <reference field="0" count="1" selected="0">
            <x v="105"/>
          </reference>
          <reference field="2" count="1">
            <x v="4"/>
          </reference>
        </references>
      </pivotArea>
    </format>
    <format dxfId="422">
      <pivotArea dataOnly="0" labelOnly="1" fieldPosition="0">
        <references count="2">
          <reference field="0" count="1" selected="0">
            <x v="106"/>
          </reference>
          <reference field="2" count="1">
            <x v="0"/>
          </reference>
        </references>
      </pivotArea>
    </format>
    <format dxfId="421">
      <pivotArea dataOnly="0" labelOnly="1" fieldPosition="0">
        <references count="2">
          <reference field="0" count="1" selected="0">
            <x v="107"/>
          </reference>
          <reference field="2" count="1">
            <x v="2"/>
          </reference>
        </references>
      </pivotArea>
    </format>
    <format dxfId="420">
      <pivotArea dataOnly="0" labelOnly="1" fieldPosition="0">
        <references count="2">
          <reference field="0" count="1" selected="0">
            <x v="108"/>
          </reference>
          <reference field="2" count="1">
            <x v="3"/>
          </reference>
        </references>
      </pivotArea>
    </format>
    <format dxfId="419">
      <pivotArea dataOnly="0" labelOnly="1" fieldPosition="0">
        <references count="2">
          <reference field="0" count="1" selected="0">
            <x v="109"/>
          </reference>
          <reference field="2" count="1">
            <x v="4"/>
          </reference>
        </references>
      </pivotArea>
    </format>
    <format dxfId="418">
      <pivotArea dataOnly="0" labelOnly="1" fieldPosition="0">
        <references count="2">
          <reference field="0" count="1" selected="0">
            <x v="110"/>
          </reference>
          <reference field="2" count="1">
            <x v="1"/>
          </reference>
        </references>
      </pivotArea>
    </format>
    <format dxfId="417">
      <pivotArea dataOnly="0" labelOnly="1" fieldPosition="0">
        <references count="2">
          <reference field="0" count="1" selected="0">
            <x v="111"/>
          </reference>
          <reference field="2" count="1">
            <x v="3"/>
          </reference>
        </references>
      </pivotArea>
    </format>
    <format dxfId="416">
      <pivotArea dataOnly="0" labelOnly="1" fieldPosition="0">
        <references count="2">
          <reference field="0" count="1" selected="0">
            <x v="112"/>
          </reference>
          <reference field="2" count="1">
            <x v="2"/>
          </reference>
        </references>
      </pivotArea>
    </format>
    <format dxfId="415">
      <pivotArea dataOnly="0" labelOnly="1" fieldPosition="0">
        <references count="2">
          <reference field="0" count="1" selected="0">
            <x v="113"/>
          </reference>
          <reference field="2" count="1">
            <x v="1"/>
          </reference>
        </references>
      </pivotArea>
    </format>
    <format dxfId="414">
      <pivotArea dataOnly="0" labelOnly="1" fieldPosition="0">
        <references count="2">
          <reference field="0" count="1" selected="0">
            <x v="114"/>
          </reference>
          <reference field="2" count="1">
            <x v="4"/>
          </reference>
        </references>
      </pivotArea>
    </format>
    <format dxfId="413">
      <pivotArea dataOnly="0" labelOnly="1" fieldPosition="0">
        <references count="2">
          <reference field="0" count="1" selected="0">
            <x v="115"/>
          </reference>
          <reference field="2" count="1">
            <x v="0"/>
          </reference>
        </references>
      </pivotArea>
    </format>
    <format dxfId="412">
      <pivotArea dataOnly="0" labelOnly="1" fieldPosition="0">
        <references count="2">
          <reference field="0" count="1" selected="0">
            <x v="116"/>
          </reference>
          <reference field="2" count="1">
            <x v="2"/>
          </reference>
        </references>
      </pivotArea>
    </format>
    <format dxfId="411">
      <pivotArea dataOnly="0" labelOnly="1" fieldPosition="0">
        <references count="2">
          <reference field="0" count="1" selected="0">
            <x v="117"/>
          </reference>
          <reference field="2" count="1">
            <x v="1"/>
          </reference>
        </references>
      </pivotArea>
    </format>
    <format dxfId="410">
      <pivotArea dataOnly="0" labelOnly="1" fieldPosition="0">
        <references count="2">
          <reference field="0" count="1" selected="0">
            <x v="118"/>
          </reference>
          <reference field="2" count="1">
            <x v="3"/>
          </reference>
        </references>
      </pivotArea>
    </format>
    <format dxfId="409">
      <pivotArea dataOnly="0" labelOnly="1" fieldPosition="0">
        <references count="2">
          <reference field="0" count="1" selected="0">
            <x v="119"/>
          </reference>
          <reference field="2" count="1">
            <x v="1"/>
          </reference>
        </references>
      </pivotArea>
    </format>
    <format dxfId="408">
      <pivotArea dataOnly="0" labelOnly="1" fieldPosition="0">
        <references count="2">
          <reference field="0" count="1" selected="0">
            <x v="120"/>
          </reference>
          <reference field="2" count="1">
            <x v="4"/>
          </reference>
        </references>
      </pivotArea>
    </format>
    <format dxfId="407">
      <pivotArea dataOnly="0" labelOnly="1" fieldPosition="0">
        <references count="2">
          <reference field="0" count="1" selected="0">
            <x v="121"/>
          </reference>
          <reference field="2" count="1">
            <x v="1"/>
          </reference>
        </references>
      </pivotArea>
    </format>
    <format dxfId="406">
      <pivotArea dataOnly="0" labelOnly="1" fieldPosition="0">
        <references count="2">
          <reference field="0" count="1" selected="0">
            <x v="122"/>
          </reference>
          <reference field="2" count="1">
            <x v="2"/>
          </reference>
        </references>
      </pivotArea>
    </format>
    <format dxfId="405">
      <pivotArea dataOnly="0" labelOnly="1" fieldPosition="0">
        <references count="2">
          <reference field="0" count="1" selected="0">
            <x v="123"/>
          </reference>
          <reference field="2" count="1">
            <x v="3"/>
          </reference>
        </references>
      </pivotArea>
    </format>
    <format dxfId="404">
      <pivotArea dataOnly="0" labelOnly="1" fieldPosition="0">
        <references count="2">
          <reference field="0" count="1" selected="0">
            <x v="124"/>
          </reference>
          <reference field="2" count="1">
            <x v="4"/>
          </reference>
        </references>
      </pivotArea>
    </format>
    <format dxfId="403">
      <pivotArea dataOnly="0" labelOnly="1" fieldPosition="0">
        <references count="2">
          <reference field="0" count="1" selected="0">
            <x v="125"/>
          </reference>
          <reference field="2" count="1">
            <x v="0"/>
          </reference>
        </references>
      </pivotArea>
    </format>
    <format dxfId="402">
      <pivotArea dataOnly="0" labelOnly="1" fieldPosition="0">
        <references count="2">
          <reference field="0" count="1" selected="0">
            <x v="126"/>
          </reference>
          <reference field="2" count="1">
            <x v="2"/>
          </reference>
        </references>
      </pivotArea>
    </format>
    <format dxfId="401">
      <pivotArea dataOnly="0" labelOnly="1" fieldPosition="0">
        <references count="2">
          <reference field="0" count="1" selected="0">
            <x v="127"/>
          </reference>
          <reference field="2" count="1">
            <x v="1"/>
          </reference>
        </references>
      </pivotArea>
    </format>
    <format dxfId="400">
      <pivotArea dataOnly="0" labelOnly="1" fieldPosition="0">
        <references count="2">
          <reference field="0" count="1" selected="0">
            <x v="128"/>
          </reference>
          <reference field="2" count="1">
            <x v="3"/>
          </reference>
        </references>
      </pivotArea>
    </format>
    <format dxfId="399">
      <pivotArea dataOnly="0" labelOnly="1" fieldPosition="0">
        <references count="2">
          <reference field="0" count="1" selected="0">
            <x v="129"/>
          </reference>
          <reference field="2" count="1">
            <x v="1"/>
          </reference>
        </references>
      </pivotArea>
    </format>
    <format dxfId="398">
      <pivotArea dataOnly="0" labelOnly="1" fieldPosition="0">
        <references count="3">
          <reference field="0" count="1" selected="0">
            <x v="0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97">
      <pivotArea dataOnly="0" labelOnly="1" fieldPosition="0">
        <references count="3">
          <reference field="0" count="1" selected="0">
            <x v="1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96">
      <pivotArea dataOnly="0" labelOnly="1" fieldPosition="0">
        <references count="3">
          <reference field="0" count="1" selected="0">
            <x v="2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95">
      <pivotArea dataOnly="0" labelOnly="1" fieldPosition="0">
        <references count="3">
          <reference field="0" count="1" selected="0">
            <x v="3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94">
      <pivotArea dataOnly="0" labelOnly="1" fieldPosition="0">
        <references count="3">
          <reference field="0" count="1" selected="0">
            <x v="4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93">
      <pivotArea dataOnly="0" labelOnly="1" fieldPosition="0">
        <references count="3">
          <reference field="0" count="1" selected="0">
            <x v="5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92">
      <pivotArea dataOnly="0" labelOnly="1" fieldPosition="0">
        <references count="3">
          <reference field="0" count="1" selected="0">
            <x v="6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91">
      <pivotArea dataOnly="0" labelOnly="1" fieldPosition="0">
        <references count="3">
          <reference field="0" count="1" selected="0">
            <x v="7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90">
      <pivotArea dataOnly="0" labelOnly="1" fieldPosition="0">
        <references count="3">
          <reference field="0" count="1" selected="0">
            <x v="8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89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88">
      <pivotArea dataOnly="0" labelOnly="1" fieldPosition="0">
        <references count="3">
          <reference field="0" count="1" selected="0">
            <x v="10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387">
      <pivotArea dataOnly="0" labelOnly="1" fieldPosition="0">
        <references count="3">
          <reference field="0" count="1" selected="0">
            <x v="11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86">
      <pivotArea dataOnly="0" labelOnly="1" fieldPosition="0">
        <references count="3">
          <reference field="0" count="1" selected="0">
            <x v="12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85">
      <pivotArea dataOnly="0" labelOnly="1" fieldPosition="0">
        <references count="3">
          <reference field="0" count="1" selected="0">
            <x v="13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84">
      <pivotArea dataOnly="0" labelOnly="1" fieldPosition="0">
        <references count="3">
          <reference field="0" count="1" selected="0">
            <x v="14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83">
      <pivotArea dataOnly="0" labelOnly="1" fieldPosition="0">
        <references count="3">
          <reference field="0" count="1" selected="0">
            <x v="15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82">
      <pivotArea dataOnly="0" labelOnly="1" fieldPosition="0">
        <references count="3">
          <reference field="0" count="1" selected="0">
            <x v="16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81">
      <pivotArea dataOnly="0" labelOnly="1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80">
      <pivotArea dataOnly="0" labelOnly="1" fieldPosition="0">
        <references count="3">
          <reference field="0" count="1" selected="0">
            <x v="18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79">
      <pivotArea dataOnly="0" labelOnly="1" fieldPosition="0">
        <references count="3">
          <reference field="0" count="1" selected="0">
            <x v="19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78">
      <pivotArea dataOnly="0" labelOnly="1" fieldPosition="0">
        <references count="3">
          <reference field="0" count="1" selected="0">
            <x v="20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77">
      <pivotArea dataOnly="0" labelOnly="1" fieldPosition="0">
        <references count="3">
          <reference field="0" count="1" selected="0">
            <x v="21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376">
      <pivotArea dataOnly="0" labelOnly="1" fieldPosition="0">
        <references count="3">
          <reference field="0" count="1" selected="0">
            <x v="22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75">
      <pivotArea dataOnly="0" labelOnly="1" fieldPosition="0">
        <references count="3">
          <reference field="0" count="1" selected="0">
            <x v="23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374">
      <pivotArea dataOnly="0" labelOnly="1" fieldPosition="0">
        <references count="3">
          <reference field="0" count="1" selected="0">
            <x v="24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73">
      <pivotArea dataOnly="0" labelOnly="1" fieldPosition="0">
        <references count="3">
          <reference field="0" count="1" selected="0">
            <x v="25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72">
      <pivotArea dataOnly="0" labelOnly="1" fieldPosition="0">
        <references count="3">
          <reference field="0" count="1" selected="0">
            <x v="26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71">
      <pivotArea dataOnly="0" labelOnly="1" fieldPosition="0">
        <references count="3">
          <reference field="0" count="1" selected="0">
            <x v="27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70">
      <pivotArea dataOnly="0" labelOnly="1" fieldPosition="0">
        <references count="3">
          <reference field="0" count="1" selected="0">
            <x v="28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69">
      <pivotArea dataOnly="0" labelOnly="1" fieldPosition="0">
        <references count="3">
          <reference field="0" count="1" selected="0">
            <x v="29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368">
      <pivotArea dataOnly="0" labelOnly="1" fieldPosition="0">
        <references count="3">
          <reference field="0" count="1" selected="0">
            <x v="30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67">
      <pivotArea dataOnly="0" labelOnly="1" fieldPosition="0">
        <references count="3">
          <reference field="0" count="1" selected="0">
            <x v="31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66">
      <pivotArea dataOnly="0" labelOnly="1" fieldPosition="0">
        <references count="3">
          <reference field="0" count="1" selected="0">
            <x v="32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65">
      <pivotArea dataOnly="0" labelOnly="1" fieldPosition="0">
        <references count="3">
          <reference field="0" count="1" selected="0">
            <x v="33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64">
      <pivotArea dataOnly="0" labelOnly="1" fieldPosition="0">
        <references count="3">
          <reference field="0" count="1" selected="0">
            <x v="34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63">
      <pivotArea dataOnly="0" labelOnly="1" fieldPosition="0">
        <references count="3">
          <reference field="0" count="1" selected="0">
            <x v="35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62">
      <pivotArea dataOnly="0" labelOnly="1" fieldPosition="0">
        <references count="3">
          <reference field="0" count="1" selected="0">
            <x v="36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61">
      <pivotArea dataOnly="0" labelOnly="1" fieldPosition="0">
        <references count="3">
          <reference field="0" count="1" selected="0">
            <x v="37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60">
      <pivotArea dataOnly="0" labelOnly="1" fieldPosition="0">
        <references count="3">
          <reference field="0" count="1" selected="0">
            <x v="38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59">
      <pivotArea dataOnly="0" labelOnly="1" fieldPosition="0">
        <references count="3">
          <reference field="0" count="1" selected="0">
            <x v="39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58">
      <pivotArea dataOnly="0" labelOnly="1" fieldPosition="0">
        <references count="3">
          <reference field="0" count="1" selected="0">
            <x v="40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57">
      <pivotArea dataOnly="0" labelOnly="1" fieldPosition="0">
        <references count="3">
          <reference field="0" count="1" selected="0">
            <x v="41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356">
      <pivotArea dataOnly="0" labelOnly="1" fieldPosition="0">
        <references count="3">
          <reference field="0" count="1" selected="0">
            <x v="42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55">
      <pivotArea dataOnly="0" labelOnly="1" fieldPosition="0">
        <references count="3">
          <reference field="0" count="1" selected="0">
            <x v="43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54">
      <pivotArea dataOnly="0" labelOnly="1" fieldPosition="0">
        <references count="3">
          <reference field="0" count="1" selected="0">
            <x v="44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353">
      <pivotArea dataOnly="0" labelOnly="1" fieldPosition="0">
        <references count="3">
          <reference field="0" count="1" selected="0">
            <x v="45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52">
      <pivotArea dataOnly="0" labelOnly="1" fieldPosition="0">
        <references count="3">
          <reference field="0" count="1" selected="0">
            <x v="46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51">
      <pivotArea dataOnly="0" labelOnly="1" fieldPosition="0">
        <references count="3">
          <reference field="0" count="1" selected="0">
            <x v="47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350">
      <pivotArea dataOnly="0" labelOnly="1" fieldPosition="0">
        <references count="3">
          <reference field="0" count="1" selected="0">
            <x v="48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49">
      <pivotArea dataOnly="0" labelOnly="1" fieldPosition="0">
        <references count="3">
          <reference field="0" count="1" selected="0">
            <x v="49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48">
      <pivotArea dataOnly="0" labelOnly="1" fieldPosition="0">
        <references count="3">
          <reference field="0" count="1" selected="0">
            <x v="50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47">
      <pivotArea dataOnly="0" labelOnly="1" fieldPosition="0">
        <references count="3">
          <reference field="0" count="1" selected="0">
            <x v="51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46">
      <pivotArea dataOnly="0" labelOnly="1" fieldPosition="0">
        <references count="3">
          <reference field="0" count="1" selected="0">
            <x v="52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45">
      <pivotArea dataOnly="0" labelOnly="1" fieldPosition="0">
        <references count="3">
          <reference field="0" count="1" selected="0">
            <x v="53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44">
      <pivotArea dataOnly="0" labelOnly="1" fieldPosition="0">
        <references count="3">
          <reference field="0" count="1" selected="0">
            <x v="54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43">
      <pivotArea dataOnly="0" labelOnly="1" fieldPosition="0">
        <references count="3">
          <reference field="0" count="1" selected="0">
            <x v="55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42">
      <pivotArea dataOnly="0" labelOnly="1" fieldPosition="0">
        <references count="3">
          <reference field="0" count="1" selected="0">
            <x v="56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41">
      <pivotArea dataOnly="0" labelOnly="1" fieldPosition="0">
        <references count="3">
          <reference field="0" count="1" selected="0">
            <x v="57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40">
      <pivotArea dataOnly="0" labelOnly="1" fieldPosition="0">
        <references count="3">
          <reference field="0" count="1" selected="0">
            <x v="58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39">
      <pivotArea dataOnly="0" labelOnly="1" fieldPosition="0">
        <references count="3">
          <reference field="0" count="1" selected="0">
            <x v="59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38">
      <pivotArea dataOnly="0" labelOnly="1" fieldPosition="0">
        <references count="3">
          <reference field="0" count="1" selected="0">
            <x v="60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37">
      <pivotArea dataOnly="0" labelOnly="1" fieldPosition="0">
        <references count="3">
          <reference field="0" count="1" selected="0">
            <x v="61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36">
      <pivotArea dataOnly="0" labelOnly="1" fieldPosition="0">
        <references count="3">
          <reference field="0" count="1" selected="0">
            <x v="62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35">
      <pivotArea dataOnly="0" labelOnly="1" fieldPosition="0">
        <references count="3">
          <reference field="0" count="1" selected="0">
            <x v="63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34">
      <pivotArea dataOnly="0" labelOnly="1" fieldPosition="0">
        <references count="3">
          <reference field="0" count="1" selected="0">
            <x v="64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33">
      <pivotArea dataOnly="0" labelOnly="1" fieldPosition="0">
        <references count="3">
          <reference field="0" count="1" selected="0">
            <x v="65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32">
      <pivotArea dataOnly="0" labelOnly="1" fieldPosition="0">
        <references count="3">
          <reference field="0" count="1" selected="0">
            <x v="66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31">
      <pivotArea dataOnly="0" labelOnly="1" fieldPosition="0">
        <references count="3">
          <reference field="0" count="1" selected="0">
            <x v="67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30">
      <pivotArea dataOnly="0" labelOnly="1" fieldPosition="0">
        <references count="3">
          <reference field="0" count="1" selected="0">
            <x v="68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329">
      <pivotArea dataOnly="0" labelOnly="1" fieldPosition="0">
        <references count="3">
          <reference field="0" count="1" selected="0">
            <x v="69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28">
      <pivotArea dataOnly="0" labelOnly="1" fieldPosition="0">
        <references count="3">
          <reference field="0" count="1" selected="0">
            <x v="70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27">
      <pivotArea dataOnly="0" labelOnly="1" fieldPosition="0">
        <references count="3">
          <reference field="0" count="1" selected="0">
            <x v="71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26">
      <pivotArea dataOnly="0" labelOnly="1" fieldPosition="0">
        <references count="3">
          <reference field="0" count="1" selected="0">
            <x v="72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325">
      <pivotArea dataOnly="0" labelOnly="1" fieldPosition="0">
        <references count="3">
          <reference field="0" count="1" selected="0">
            <x v="73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24">
      <pivotArea dataOnly="0" labelOnly="1" fieldPosition="0">
        <references count="3">
          <reference field="0" count="1" selected="0">
            <x v="74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23">
      <pivotArea dataOnly="0" labelOnly="1" fieldPosition="0">
        <references count="3">
          <reference field="0" count="1" selected="0">
            <x v="75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22">
      <pivotArea dataOnly="0" labelOnly="1" fieldPosition="0">
        <references count="3">
          <reference field="0" count="1" selected="0">
            <x v="76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321">
      <pivotArea dataOnly="0" labelOnly="1" fieldPosition="0">
        <references count="3">
          <reference field="0" count="1" selected="0">
            <x v="77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320">
      <pivotArea dataOnly="0" labelOnly="1" fieldPosition="0">
        <references count="3">
          <reference field="0" count="1" selected="0">
            <x v="78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19">
      <pivotArea dataOnly="0" labelOnly="1" fieldPosition="0">
        <references count="3">
          <reference field="0" count="1" selected="0">
            <x v="79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18">
      <pivotArea dataOnly="0" labelOnly="1" fieldPosition="0">
        <references count="3">
          <reference field="0" count="1" selected="0">
            <x v="80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17">
      <pivotArea dataOnly="0" labelOnly="1" fieldPosition="0">
        <references count="3">
          <reference field="0" count="1" selected="0">
            <x v="81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16">
      <pivotArea dataOnly="0" labelOnly="1" fieldPosition="0">
        <references count="3">
          <reference field="0" count="1" selected="0">
            <x v="82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15">
      <pivotArea dataOnly="0" labelOnly="1" fieldPosition="0">
        <references count="3">
          <reference field="0" count="1" selected="0">
            <x v="83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314">
      <pivotArea dataOnly="0" labelOnly="1" fieldPosition="0">
        <references count="3">
          <reference field="0" count="1" selected="0">
            <x v="84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13">
      <pivotArea dataOnly="0" labelOnly="1" fieldPosition="0">
        <references count="3">
          <reference field="0" count="1" selected="0">
            <x v="85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312">
      <pivotArea dataOnly="0" labelOnly="1" fieldPosition="0">
        <references count="3">
          <reference field="0" count="1" selected="0">
            <x v="86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11">
      <pivotArea dataOnly="0" labelOnly="1" fieldPosition="0">
        <references count="3">
          <reference field="0" count="1" selected="0">
            <x v="87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310">
      <pivotArea dataOnly="0" labelOnly="1" fieldPosition="0">
        <references count="3">
          <reference field="0" count="1" selected="0">
            <x v="88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309">
      <pivotArea dataOnly="0" labelOnly="1" fieldPosition="0">
        <references count="3">
          <reference field="0" count="1" selected="0">
            <x v="89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08">
      <pivotArea dataOnly="0" labelOnly="1" fieldPosition="0">
        <references count="3">
          <reference field="0" count="1" selected="0">
            <x v="90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07">
      <pivotArea dataOnly="0" labelOnly="1" fieldPosition="0">
        <references count="3">
          <reference field="0" count="1" selected="0">
            <x v="91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306">
      <pivotArea dataOnly="0" labelOnly="1" fieldPosition="0">
        <references count="3">
          <reference field="0" count="1" selected="0">
            <x v="92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305">
      <pivotArea dataOnly="0" labelOnly="1" fieldPosition="0">
        <references count="3">
          <reference field="0" count="1" selected="0">
            <x v="93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304">
      <pivotArea dataOnly="0" labelOnly="1" fieldPosition="0">
        <references count="3">
          <reference field="0" count="1" selected="0">
            <x v="94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03">
      <pivotArea dataOnly="0" labelOnly="1" fieldPosition="0">
        <references count="3">
          <reference field="0" count="1" selected="0">
            <x v="95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302">
      <pivotArea dataOnly="0" labelOnly="1" fieldPosition="0">
        <references count="3">
          <reference field="0" count="1" selected="0">
            <x v="96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301">
      <pivotArea dataOnly="0" labelOnly="1" fieldPosition="0">
        <references count="3">
          <reference field="0" count="1" selected="0">
            <x v="97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300">
      <pivotArea dataOnly="0" labelOnly="1" fieldPosition="0">
        <references count="3">
          <reference field="0" count="1" selected="0">
            <x v="98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299">
      <pivotArea dataOnly="0" labelOnly="1" fieldPosition="0">
        <references count="3">
          <reference field="0" count="1" selected="0">
            <x v="99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298">
      <pivotArea dataOnly="0" labelOnly="1" fieldPosition="0">
        <references count="3">
          <reference field="0" count="1" selected="0">
            <x v="100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297">
      <pivotArea dataOnly="0" labelOnly="1" fieldPosition="0">
        <references count="3">
          <reference field="0" count="1" selected="0">
            <x v="101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296">
      <pivotArea dataOnly="0" labelOnly="1" fieldPosition="0">
        <references count="3">
          <reference field="0" count="1" selected="0">
            <x v="102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295">
      <pivotArea dataOnly="0" labelOnly="1" fieldPosition="0">
        <references count="3">
          <reference field="0" count="1" selected="0">
            <x v="103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294">
      <pivotArea dataOnly="0" labelOnly="1" fieldPosition="0">
        <references count="3">
          <reference field="0" count="1" selected="0">
            <x v="104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293">
      <pivotArea dataOnly="0" labelOnly="1" fieldPosition="0">
        <references count="3">
          <reference field="0" count="1" selected="0">
            <x v="105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292">
      <pivotArea dataOnly="0" labelOnly="1" fieldPosition="0">
        <references count="3">
          <reference field="0" count="1" selected="0">
            <x v="106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291">
      <pivotArea dataOnly="0" labelOnly="1" fieldPosition="0">
        <references count="3">
          <reference field="0" count="1" selected="0">
            <x v="107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290">
      <pivotArea dataOnly="0" labelOnly="1" fieldPosition="0">
        <references count="3">
          <reference field="0" count="1" selected="0">
            <x v="108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289">
      <pivotArea dataOnly="0" labelOnly="1" fieldPosition="0">
        <references count="3">
          <reference field="0" count="1" selected="0">
            <x v="109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288">
      <pivotArea dataOnly="0" labelOnly="1" fieldPosition="0">
        <references count="3">
          <reference field="0" count="1" selected="0">
            <x v="110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287">
      <pivotArea dataOnly="0" labelOnly="1" fieldPosition="0">
        <references count="3">
          <reference field="0" count="1" selected="0">
            <x v="111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286">
      <pivotArea dataOnly="0" labelOnly="1" fieldPosition="0">
        <references count="3">
          <reference field="0" count="1" selected="0">
            <x v="112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285">
      <pivotArea dataOnly="0" labelOnly="1" fieldPosition="0">
        <references count="3">
          <reference field="0" count="1" selected="0">
            <x v="113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284">
      <pivotArea dataOnly="0" labelOnly="1" fieldPosition="0">
        <references count="3">
          <reference field="0" count="1" selected="0">
            <x v="114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283">
      <pivotArea dataOnly="0" labelOnly="1" fieldPosition="0">
        <references count="3">
          <reference field="0" count="1" selected="0">
            <x v="115"/>
          </reference>
          <reference field="2" count="1" selected="0">
            <x v="0"/>
          </reference>
          <reference field="5" count="1">
            <x v="1"/>
          </reference>
        </references>
      </pivotArea>
    </format>
    <format dxfId="282">
      <pivotArea dataOnly="0" labelOnly="1" fieldPosition="0">
        <references count="3">
          <reference field="0" count="1" selected="0">
            <x v="116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281">
      <pivotArea dataOnly="0" labelOnly="1" fieldPosition="0">
        <references count="3">
          <reference field="0" count="1" selected="0">
            <x v="117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280">
      <pivotArea dataOnly="0" labelOnly="1" fieldPosition="0">
        <references count="3">
          <reference field="0" count="1" selected="0">
            <x v="118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279">
      <pivotArea dataOnly="0" labelOnly="1" fieldPosition="0">
        <references count="3">
          <reference field="0" count="1" selected="0">
            <x v="119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278">
      <pivotArea dataOnly="0" labelOnly="1" fieldPosition="0">
        <references count="3">
          <reference field="0" count="1" selected="0">
            <x v="120"/>
          </reference>
          <reference field="2" count="1" selected="0">
            <x v="4"/>
          </reference>
          <reference field="5" count="1">
            <x v="0"/>
          </reference>
        </references>
      </pivotArea>
    </format>
    <format dxfId="277">
      <pivotArea dataOnly="0" labelOnly="1" fieldPosition="0">
        <references count="3">
          <reference field="0" count="1" selected="0">
            <x v="121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276">
      <pivotArea dataOnly="0" labelOnly="1" fieldPosition="0">
        <references count="3">
          <reference field="0" count="1" selected="0">
            <x v="122"/>
          </reference>
          <reference field="2" count="1" selected="0">
            <x v="2"/>
          </reference>
          <reference field="5" count="1">
            <x v="1"/>
          </reference>
        </references>
      </pivotArea>
    </format>
    <format dxfId="275">
      <pivotArea dataOnly="0" labelOnly="1" fieldPosition="0">
        <references count="3">
          <reference field="0" count="1" selected="0">
            <x v="123"/>
          </reference>
          <reference field="2" count="1" selected="0">
            <x v="3"/>
          </reference>
          <reference field="5" count="1">
            <x v="0"/>
          </reference>
        </references>
      </pivotArea>
    </format>
    <format dxfId="274">
      <pivotArea dataOnly="0" labelOnly="1" fieldPosition="0">
        <references count="3">
          <reference field="0" count="1" selected="0">
            <x v="124"/>
          </reference>
          <reference field="2" count="1" selected="0">
            <x v="4"/>
          </reference>
          <reference field="5" count="1">
            <x v="1"/>
          </reference>
        </references>
      </pivotArea>
    </format>
    <format dxfId="273">
      <pivotArea dataOnly="0" labelOnly="1" fieldPosition="0">
        <references count="3">
          <reference field="0" count="1" selected="0">
            <x v="125"/>
          </reference>
          <reference field="2" count="1" selected="0">
            <x v="0"/>
          </reference>
          <reference field="5" count="1">
            <x v="0"/>
          </reference>
        </references>
      </pivotArea>
    </format>
    <format dxfId="272">
      <pivotArea dataOnly="0" labelOnly="1" fieldPosition="0">
        <references count="3">
          <reference field="0" count="1" selected="0">
            <x v="126"/>
          </reference>
          <reference field="2" count="1" selected="0">
            <x v="2"/>
          </reference>
          <reference field="5" count="1">
            <x v="0"/>
          </reference>
        </references>
      </pivotArea>
    </format>
    <format dxfId="271">
      <pivotArea dataOnly="0" labelOnly="1" fieldPosition="0">
        <references count="3">
          <reference field="0" count="1" selected="0">
            <x v="127"/>
          </reference>
          <reference field="2" count="1" selected="0">
            <x v="1"/>
          </reference>
          <reference field="5" count="1">
            <x v="1"/>
          </reference>
        </references>
      </pivotArea>
    </format>
    <format dxfId="270">
      <pivotArea dataOnly="0" labelOnly="1" fieldPosition="0">
        <references count="3">
          <reference field="0" count="1" selected="0">
            <x v="128"/>
          </reference>
          <reference field="2" count="1" selected="0">
            <x v="3"/>
          </reference>
          <reference field="5" count="1">
            <x v="1"/>
          </reference>
        </references>
      </pivotArea>
    </format>
    <format dxfId="269">
      <pivotArea dataOnly="0" labelOnly="1" fieldPosition="0">
        <references count="3">
          <reference field="0" count="1" selected="0">
            <x v="129"/>
          </reference>
          <reference field="2" count="1" selected="0">
            <x v="1"/>
          </reference>
          <reference field="5" count="1">
            <x v="0"/>
          </reference>
        </references>
      </pivotArea>
    </format>
    <format dxfId="268">
      <pivotArea dataOnly="0" labelOnly="1" fieldPosition="0">
        <references count="4">
          <reference field="0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67">
      <pivotArea dataOnly="0" labelOnly="1" fieldPosition="0">
        <references count="4">
          <reference field="0" count="1" selected="0">
            <x v="1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266">
      <pivotArea dataOnly="0" labelOnly="1" fieldPosition="0">
        <references count="4">
          <reference field="0" count="1" selected="0">
            <x v="2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65">
      <pivotArea dataOnly="0" labelOnly="1" fieldPosition="0">
        <references count="4">
          <reference field="0" count="1" selected="0">
            <x v="3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64">
      <pivotArea dataOnly="0" labelOnly="1" fieldPosition="0">
        <references count="4">
          <reference field="0" count="1" selected="0">
            <x v="4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63">
      <pivotArea dataOnly="0" labelOnly="1" fieldPosition="0">
        <references count="4">
          <reference field="0" count="1" selected="0">
            <x v="5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262">
      <pivotArea dataOnly="0" labelOnly="1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61">
      <pivotArea dataOnly="0" labelOnly="1" fieldPosition="0">
        <references count="4">
          <reference field="0" count="1" selected="0">
            <x v="7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60">
      <pivotArea dataOnly="0" labelOnly="1" fieldPosition="0">
        <references count="4">
          <reference field="0" count="1" selected="0">
            <x v="8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59">
      <pivotArea dataOnly="0" labelOnly="1" fieldPosition="0">
        <references count="4">
          <reference field="0" count="1" selected="0">
            <x v="9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58">
      <pivotArea dataOnly="0" labelOnly="1" fieldPosition="0">
        <references count="4">
          <reference field="0" count="1" selected="0">
            <x v="10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0"/>
          </reference>
        </references>
      </pivotArea>
    </format>
    <format dxfId="257">
      <pivotArea dataOnly="0" labelOnly="1" fieldPosition="0">
        <references count="4">
          <reference field="0" count="1" selected="0">
            <x v="11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56">
      <pivotArea dataOnly="0" labelOnly="1" fieldPosition="0">
        <references count="4">
          <reference field="0" count="1" selected="0">
            <x v="12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55">
      <pivotArea dataOnly="0" labelOnly="1" fieldPosition="0">
        <references count="4">
          <reference field="0" count="1" selected="0">
            <x v="13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54">
      <pivotArea dataOnly="0" labelOnly="1" fieldPosition="0">
        <references count="4">
          <reference field="0" count="1" selected="0">
            <x v="14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53">
      <pivotArea dataOnly="0" labelOnly="1" fieldPosition="0">
        <references count="4">
          <reference field="0" count="1" selected="0">
            <x v="15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52">
      <pivotArea dataOnly="0" labelOnly="1" fieldPosition="0">
        <references count="4">
          <reference field="0" count="1" selected="0">
            <x v="16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51">
      <pivotArea dataOnly="0" labelOnly="1" fieldPosition="0">
        <references count="4">
          <reference field="0" count="1" selected="0">
            <x v="17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250">
      <pivotArea dataOnly="0" labelOnly="1" fieldPosition="0">
        <references count="4">
          <reference field="0" count="1" selected="0">
            <x v="18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49">
      <pivotArea dataOnly="0" labelOnly="1" fieldPosition="0">
        <references count="4">
          <reference field="0" count="1" selected="0">
            <x v="19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248">
      <pivotArea dataOnly="0" labelOnly="1" fieldPosition="0">
        <references count="4">
          <reference field="0" count="1" selected="0">
            <x v="20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47">
      <pivotArea dataOnly="0" labelOnly="1" fieldPosition="0">
        <references count="4">
          <reference field="0" count="1" selected="0">
            <x v="21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246">
      <pivotArea dataOnly="0" labelOnly="1" fieldPosition="0">
        <references count="4">
          <reference field="0" count="1" selected="0">
            <x v="22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45">
      <pivotArea dataOnly="0" labelOnly="1" fieldPosition="0">
        <references count="4">
          <reference field="0" count="1" selected="0">
            <x v="23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244">
      <pivotArea dataOnly="0" labelOnly="1" fieldPosition="0">
        <references count="4">
          <reference field="0" count="1" selected="0">
            <x v="24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43">
      <pivotArea dataOnly="0" labelOnly="1" fieldPosition="0">
        <references count="4">
          <reference field="0" count="1" selected="0">
            <x v="25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42">
      <pivotArea dataOnly="0" labelOnly="1" fieldPosition="0">
        <references count="4">
          <reference field="0" count="1" selected="0">
            <x v="26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41">
      <pivotArea dataOnly="0" labelOnly="1" fieldPosition="0">
        <references count="4">
          <reference field="0" count="1" selected="0">
            <x v="27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40">
      <pivotArea dataOnly="0" labelOnly="1" fieldPosition="0">
        <references count="4">
          <reference field="0" count="1" selected="0">
            <x v="28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39">
      <pivotArea dataOnly="0" labelOnly="1" fieldPosition="0">
        <references count="4">
          <reference field="0" count="1" selected="0">
            <x v="29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38">
      <pivotArea dataOnly="0" labelOnly="1" fieldPosition="0">
        <references count="4">
          <reference field="0" count="1" selected="0">
            <x v="30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37">
      <pivotArea dataOnly="0" labelOnly="1" fieldPosition="0">
        <references count="4">
          <reference field="0" count="1" selected="0">
            <x v="31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236">
      <pivotArea dataOnly="0" labelOnly="1" fieldPosition="0">
        <references count="4">
          <reference field="0" count="1" selected="0">
            <x v="32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35">
      <pivotArea dataOnly="0" labelOnly="1" fieldPosition="0">
        <references count="4">
          <reference field="0" count="1" selected="0">
            <x v="33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34">
      <pivotArea dataOnly="0" labelOnly="1" fieldPosition="0">
        <references count="4">
          <reference field="0" count="1" selected="0">
            <x v="34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33">
      <pivotArea dataOnly="0" labelOnly="1" fieldPosition="0">
        <references count="4">
          <reference field="0" count="1" selected="0">
            <x v="35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32">
      <pivotArea dataOnly="0" labelOnly="1" fieldPosition="0">
        <references count="4">
          <reference field="0" count="1" selected="0">
            <x v="36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31">
      <pivotArea dataOnly="0" labelOnly="1" fieldPosition="0">
        <references count="4">
          <reference field="0" count="1" selected="0">
            <x v="37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30">
      <pivotArea dataOnly="0" labelOnly="1" fieldPosition="0">
        <references count="4">
          <reference field="0" count="1" selected="0">
            <x v="38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29">
      <pivotArea dataOnly="0" labelOnly="1" fieldPosition="0">
        <references count="4">
          <reference field="0" count="1" selected="0">
            <x v="39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28">
      <pivotArea dataOnly="0" labelOnly="1" fieldPosition="0">
        <references count="4">
          <reference field="0" count="1" selected="0">
            <x v="40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27">
      <pivotArea dataOnly="0" labelOnly="1" fieldPosition="0">
        <references count="4">
          <reference field="0" count="1" selected="0">
            <x v="41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26">
      <pivotArea dataOnly="0" labelOnly="1" fieldPosition="0">
        <references count="4">
          <reference field="0" count="1" selected="0">
            <x v="42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25">
      <pivotArea dataOnly="0" labelOnly="1" fieldPosition="0">
        <references count="4">
          <reference field="0" count="1" selected="0">
            <x v="43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24">
      <pivotArea dataOnly="0" labelOnly="1" fieldPosition="0">
        <references count="4">
          <reference field="0" count="1" selected="0">
            <x v="44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23">
      <pivotArea dataOnly="0" labelOnly="1" fieldPosition="0">
        <references count="4">
          <reference field="0" count="1" selected="0">
            <x v="45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222">
      <pivotArea dataOnly="0" labelOnly="1" fieldPosition="0">
        <references count="4">
          <reference field="0" count="1" selected="0">
            <x v="46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21">
      <pivotArea dataOnly="0" labelOnly="1" fieldPosition="0">
        <references count="4">
          <reference field="0" count="1" selected="0">
            <x v="47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220">
      <pivotArea dataOnly="0" labelOnly="1" fieldPosition="0">
        <references count="4">
          <reference field="0" count="1" selected="0">
            <x v="48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0"/>
          </reference>
        </references>
      </pivotArea>
    </format>
    <format dxfId="219">
      <pivotArea dataOnly="0" labelOnly="1" fieldPosition="0">
        <references count="4">
          <reference field="0" count="1" selected="0">
            <x v="49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18">
      <pivotArea dataOnly="0" labelOnly="1" fieldPosition="0">
        <references count="4">
          <reference field="0" count="1" selected="0">
            <x v="50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17">
      <pivotArea dataOnly="0" labelOnly="1" fieldPosition="0">
        <references count="4">
          <reference field="0" count="1" selected="0">
            <x v="51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16">
      <pivotArea dataOnly="0" labelOnly="1" fieldPosition="0">
        <references count="4">
          <reference field="0" count="1" selected="0">
            <x v="52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15">
      <pivotArea dataOnly="0" labelOnly="1" fieldPosition="0">
        <references count="4">
          <reference field="0" count="1" selected="0">
            <x v="53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14">
      <pivotArea dataOnly="0" labelOnly="1" fieldPosition="0">
        <references count="4">
          <reference field="0" count="1" selected="0">
            <x v="54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13">
      <pivotArea dataOnly="0" labelOnly="1" fieldPosition="0">
        <references count="4">
          <reference field="0" count="1" selected="0">
            <x v="55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12">
      <pivotArea dataOnly="0" labelOnly="1" fieldPosition="0">
        <references count="4">
          <reference field="0" count="1" selected="0">
            <x v="56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11">
      <pivotArea dataOnly="0" labelOnly="1" fieldPosition="0">
        <references count="4">
          <reference field="0" count="1" selected="0">
            <x v="57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10">
      <pivotArea dataOnly="0" labelOnly="1" fieldPosition="0">
        <references count="4">
          <reference field="0" count="1" selected="0">
            <x v="58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209">
      <pivotArea dataOnly="0" labelOnly="1" fieldPosition="0">
        <references count="4">
          <reference field="0" count="1" selected="0">
            <x v="59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208">
      <pivotArea dataOnly="0" labelOnly="1" fieldPosition="0">
        <references count="4">
          <reference field="0" count="1" selected="0">
            <x v="60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07">
      <pivotArea dataOnly="0" labelOnly="1" fieldPosition="0">
        <references count="4">
          <reference field="0" count="1" selected="0">
            <x v="61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06">
      <pivotArea dataOnly="0" labelOnly="1" fieldPosition="0">
        <references count="4">
          <reference field="0" count="1" selected="0">
            <x v="62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05">
      <pivotArea dataOnly="0" labelOnly="1" fieldPosition="0">
        <references count="4">
          <reference field="0" count="1" selected="0">
            <x v="63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04">
      <pivotArea dataOnly="0" labelOnly="1" fieldPosition="0">
        <references count="4">
          <reference field="0" count="1" selected="0">
            <x v="64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203">
      <pivotArea dataOnly="0" labelOnly="1" fieldPosition="0">
        <references count="4">
          <reference field="0" count="1" selected="0">
            <x v="65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202">
      <pivotArea dataOnly="0" labelOnly="1" fieldPosition="0">
        <references count="4">
          <reference field="0" count="1" selected="0">
            <x v="66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201">
      <pivotArea dataOnly="0" labelOnly="1" fieldPosition="0">
        <references count="4">
          <reference field="0" count="1" selected="0">
            <x v="67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200">
      <pivotArea dataOnly="0" labelOnly="1" fieldPosition="0">
        <references count="4">
          <reference field="0" count="1" selected="0">
            <x v="68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99">
      <pivotArea dataOnly="0" labelOnly="1" fieldPosition="0">
        <references count="4">
          <reference field="0" count="1" selected="0">
            <x v="69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98">
      <pivotArea dataOnly="0" labelOnly="1" fieldPosition="0">
        <references count="4">
          <reference field="0" count="1" selected="0">
            <x v="70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97">
      <pivotArea dataOnly="0" labelOnly="1" fieldPosition="0">
        <references count="4">
          <reference field="0" count="1" selected="0">
            <x v="71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96">
      <pivotArea dataOnly="0" labelOnly="1" fieldPosition="0">
        <references count="4">
          <reference field="0" count="1" selected="0">
            <x v="72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95">
      <pivotArea dataOnly="0" labelOnly="1" fieldPosition="0">
        <references count="4">
          <reference field="0" count="1" selected="0">
            <x v="73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94">
      <pivotArea dataOnly="0" labelOnly="1" fieldPosition="0">
        <references count="4">
          <reference field="0" count="1" selected="0">
            <x v="74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193">
      <pivotArea dataOnly="0" labelOnly="1" fieldPosition="0">
        <references count="4">
          <reference field="0" count="1" selected="0">
            <x v="75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192">
      <pivotArea dataOnly="0" labelOnly="1" fieldPosition="0">
        <references count="4">
          <reference field="0" count="1" selected="0">
            <x v="76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4"/>
          </reference>
        </references>
      </pivotArea>
    </format>
    <format dxfId="191">
      <pivotArea dataOnly="0" labelOnly="1" fieldPosition="0">
        <references count="4">
          <reference field="0" count="1" selected="0">
            <x v="77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90">
      <pivotArea dataOnly="0" labelOnly="1" fieldPosition="0">
        <references count="4">
          <reference field="0" count="1" selected="0">
            <x v="78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89">
      <pivotArea dataOnly="0" labelOnly="1" fieldPosition="0">
        <references count="4">
          <reference field="0" count="1" selected="0">
            <x v="79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188">
      <pivotArea dataOnly="0" labelOnly="1" fieldPosition="0">
        <references count="4">
          <reference field="0" count="1" selected="0">
            <x v="80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87">
      <pivotArea dataOnly="0" labelOnly="1" fieldPosition="0">
        <references count="4">
          <reference field="0" count="1" selected="0">
            <x v="81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4"/>
          </reference>
        </references>
      </pivotArea>
    </format>
    <format dxfId="186">
      <pivotArea dataOnly="0" labelOnly="1" fieldPosition="0">
        <references count="4">
          <reference field="0" count="1" selected="0">
            <x v="82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85">
      <pivotArea dataOnly="0" labelOnly="1" fieldPosition="0">
        <references count="4">
          <reference field="0" count="1" selected="0">
            <x v="83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84">
      <pivotArea dataOnly="0" labelOnly="1" fieldPosition="0">
        <references count="4">
          <reference field="0" count="1" selected="0">
            <x v="84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83">
      <pivotArea dataOnly="0" labelOnly="1" fieldPosition="0">
        <references count="4">
          <reference field="0" count="1" selected="0">
            <x v="85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82">
      <pivotArea dataOnly="0" labelOnly="1" fieldPosition="0">
        <references count="4">
          <reference field="0" count="1" selected="0">
            <x v="86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81">
      <pivotArea dataOnly="0" labelOnly="1" fieldPosition="0">
        <references count="4">
          <reference field="0" count="1" selected="0">
            <x v="87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80">
      <pivotArea dataOnly="0" labelOnly="1" fieldPosition="0">
        <references count="4">
          <reference field="0" count="1" selected="0">
            <x v="88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79">
      <pivotArea dataOnly="0" labelOnly="1" fieldPosition="0">
        <references count="4">
          <reference field="0" count="1" selected="0">
            <x v="89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78">
      <pivotArea dataOnly="0" labelOnly="1" fieldPosition="0">
        <references count="4">
          <reference field="0" count="1" selected="0">
            <x v="90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77">
      <pivotArea dataOnly="0" labelOnly="1" fieldPosition="0">
        <references count="4">
          <reference field="0" count="1" selected="0">
            <x v="91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176">
      <pivotArea dataOnly="0" labelOnly="1" fieldPosition="0">
        <references count="4">
          <reference field="0" count="1" selected="0">
            <x v="92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175">
      <pivotArea dataOnly="0" labelOnly="1" fieldPosition="0">
        <references count="4">
          <reference field="0" count="1" selected="0">
            <x v="93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174">
      <pivotArea dataOnly="0" labelOnly="1" fieldPosition="0">
        <references count="4">
          <reference field="0" count="1" selected="0">
            <x v="94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73">
      <pivotArea dataOnly="0" labelOnly="1" fieldPosition="0">
        <references count="4">
          <reference field="0" count="1" selected="0">
            <x v="95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72">
      <pivotArea dataOnly="0" labelOnly="1" fieldPosition="0">
        <references count="4">
          <reference field="0" count="1" selected="0">
            <x v="96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71">
      <pivotArea dataOnly="0" labelOnly="1" fieldPosition="0">
        <references count="4">
          <reference field="0" count="1" selected="0">
            <x v="97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170">
      <pivotArea dataOnly="0" labelOnly="1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69">
      <pivotArea dataOnly="0" labelOnly="1" fieldPosition="0">
        <references count="4">
          <reference field="0" count="1" selected="0">
            <x v="99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68">
      <pivotArea dataOnly="0" labelOnly="1" fieldPosition="0">
        <references count="4">
          <reference field="0" count="1" selected="0">
            <x v="100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67">
      <pivotArea dataOnly="0" labelOnly="1" fieldPosition="0">
        <references count="4">
          <reference field="0" count="1" selected="0">
            <x v="101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66">
      <pivotArea dataOnly="0" labelOnly="1" fieldPosition="0">
        <references count="4">
          <reference field="0" count="1" selected="0">
            <x v="102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65">
      <pivotArea dataOnly="0" labelOnly="1" fieldPosition="0">
        <references count="4">
          <reference field="0" count="1" selected="0">
            <x v="103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64">
      <pivotArea dataOnly="0" labelOnly="1" fieldPosition="0">
        <references count="4">
          <reference field="0" count="1" selected="0">
            <x v="104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63">
      <pivotArea dataOnly="0" labelOnly="1" fieldPosition="0">
        <references count="4">
          <reference field="0" count="1" selected="0">
            <x v="105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62">
      <pivotArea dataOnly="0" labelOnly="1" fieldPosition="0">
        <references count="4">
          <reference field="0" count="1" selected="0">
            <x v="106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61">
      <pivotArea dataOnly="0" labelOnly="1" fieldPosition="0">
        <references count="4">
          <reference field="0" count="1" selected="0">
            <x v="107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60">
      <pivotArea dataOnly="0" labelOnly="1" fieldPosition="0">
        <references count="4">
          <reference field="0" count="1" selected="0">
            <x v="108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159">
      <pivotArea dataOnly="0" labelOnly="1" fieldPosition="0">
        <references count="4">
          <reference field="0" count="1" selected="0">
            <x v="109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58">
      <pivotArea dataOnly="0" labelOnly="1" fieldPosition="0">
        <references count="4">
          <reference field="0" count="1" selected="0">
            <x v="110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157">
      <pivotArea dataOnly="0" labelOnly="1" fieldPosition="0">
        <references count="4">
          <reference field="0" count="1" selected="0">
            <x v="111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56">
      <pivotArea dataOnly="0" labelOnly="1" fieldPosition="0">
        <references count="4">
          <reference field="0" count="1" selected="0">
            <x v="112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55">
      <pivotArea dataOnly="0" labelOnly="1" fieldPosition="0">
        <references count="4">
          <reference field="0" count="1" selected="0">
            <x v="113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54">
      <pivotArea dataOnly="0" labelOnly="1" fieldPosition="0">
        <references count="4">
          <reference field="0" count="1" selected="0">
            <x v="114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53">
      <pivotArea dataOnly="0" labelOnly="1" fieldPosition="0">
        <references count="4">
          <reference field="0" count="1" selected="0">
            <x v="115"/>
          </reference>
          <reference field="2" count="1" selected="0">
            <x v="0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52">
      <pivotArea dataOnly="0" labelOnly="1" fieldPosition="0">
        <references count="4">
          <reference field="0" count="1" selected="0">
            <x v="116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151">
      <pivotArea dataOnly="0" labelOnly="1" fieldPosition="0">
        <references count="4">
          <reference field="0" count="1" selected="0">
            <x v="117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3"/>
          </reference>
        </references>
      </pivotArea>
    </format>
    <format dxfId="150">
      <pivotArea dataOnly="0" labelOnly="1" fieldPosition="0">
        <references count="4">
          <reference field="0" count="1" selected="0">
            <x v="118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49">
      <pivotArea dataOnly="0" labelOnly="1" fieldPosition="0">
        <references count="4">
          <reference field="0" count="1" selected="0">
            <x v="119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48">
      <pivotArea dataOnly="0" labelOnly="1" fieldPosition="0">
        <references count="4">
          <reference field="0" count="1" selected="0">
            <x v="120"/>
          </reference>
          <reference field="2" count="1" selected="0">
            <x v="4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47">
      <pivotArea dataOnly="0" labelOnly="1" fieldPosition="0">
        <references count="4">
          <reference field="0" count="1" selected="0">
            <x v="121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1"/>
          </reference>
        </references>
      </pivotArea>
    </format>
    <format dxfId="146">
      <pivotArea dataOnly="0" labelOnly="1" fieldPosition="0">
        <references count="4">
          <reference field="0" count="1" selected="0">
            <x v="122"/>
          </reference>
          <reference field="2" count="1" selected="0">
            <x v="2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145">
      <pivotArea dataOnly="0" labelOnly="1" fieldPosition="0">
        <references count="4">
          <reference field="0" count="1" selected="0">
            <x v="123"/>
          </reference>
          <reference field="2" count="1" selected="0">
            <x v="3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44">
      <pivotArea dataOnly="0" labelOnly="1" fieldPosition="0">
        <references count="4">
          <reference field="0" count="1" selected="0">
            <x v="124"/>
          </reference>
          <reference field="2" count="1" selected="0">
            <x v="4"/>
          </reference>
          <reference field="5" count="1" selected="0">
            <x v="1"/>
          </reference>
          <reference field="12" count="1">
            <x v="3"/>
          </reference>
        </references>
      </pivotArea>
    </format>
    <format dxfId="143">
      <pivotArea dataOnly="0" labelOnly="1" fieldPosition="0">
        <references count="4">
          <reference field="0" count="1" selected="0">
            <x v="125"/>
          </reference>
          <reference field="2" count="1" selected="0">
            <x v="0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42">
      <pivotArea dataOnly="0" labelOnly="1" fieldPosition="0">
        <references count="4">
          <reference field="0" count="1" selected="0">
            <x v="126"/>
          </reference>
          <reference field="2" count="1" selected="0">
            <x v="2"/>
          </reference>
          <reference field="5" count="1" selected="0">
            <x v="0"/>
          </reference>
          <reference field="12" count="1">
            <x v="2"/>
          </reference>
        </references>
      </pivotArea>
    </format>
    <format dxfId="141">
      <pivotArea dataOnly="0" labelOnly="1" fieldPosition="0">
        <references count="4">
          <reference field="0" count="1" selected="0">
            <x v="127"/>
          </reference>
          <reference field="2" count="1" selected="0">
            <x v="1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40">
      <pivotArea dataOnly="0" labelOnly="1" fieldPosition="0">
        <references count="4">
          <reference field="0" count="1" selected="0">
            <x v="128"/>
          </reference>
          <reference field="2" count="1" selected="0">
            <x v="3"/>
          </reference>
          <reference field="5" count="1" selected="0">
            <x v="1"/>
          </reference>
          <reference field="12" count="1">
            <x v="2"/>
          </reference>
        </references>
      </pivotArea>
    </format>
    <format dxfId="139">
      <pivotArea dataOnly="0" labelOnly="1" fieldPosition="0">
        <references count="4">
          <reference field="0" count="1" selected="0">
            <x v="129"/>
          </reference>
          <reference field="2" count="1" selected="0">
            <x v="1"/>
          </reference>
          <reference field="5" count="1" selected="0">
            <x v="0"/>
          </reference>
          <reference field="12" count="1">
            <x v="1"/>
          </reference>
        </references>
      </pivotArea>
    </format>
    <format dxfId="138">
      <pivotArea dataOnly="0" labelOnly="1" fieldPosition="0">
        <references count="5">
          <reference field="0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37">
      <pivotArea dataOnly="0" labelOnly="1" fieldPosition="0">
        <references count="5">
          <reference field="0" count="1" selected="0">
            <x v="1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36">
      <pivotArea dataOnly="0" labelOnly="1" fieldPosition="0">
        <references count="5">
          <reference field="0" count="1" selected="0">
            <x v="2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35">
      <pivotArea dataOnly="0" labelOnly="1" fieldPosition="0">
        <references count="5">
          <reference field="0" count="1" selected="0">
            <x v="3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34">
      <pivotArea dataOnly="0" labelOnly="1" fieldPosition="0">
        <references count="5">
          <reference field="0" count="1" selected="0">
            <x v="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33">
      <pivotArea dataOnly="0" labelOnly="1" fieldPosition="0">
        <references count="5">
          <reference field="0" count="1" selected="0">
            <x v="5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32">
      <pivotArea dataOnly="0" labelOnly="1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31">
      <pivotArea dataOnly="0" labelOnly="1" fieldPosition="0">
        <references count="5">
          <reference field="0" count="1" selected="0">
            <x v="7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30">
      <pivotArea dataOnly="0" labelOnly="1" fieldPosition="0">
        <references count="5">
          <reference field="0" count="1" selected="0">
            <x v="8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29">
      <pivotArea dataOnly="0" labelOnly="1" fieldPosition="0">
        <references count="5">
          <reference field="0" count="1" selected="0">
            <x v="9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28">
      <pivotArea dataOnly="0" labelOnly="1" fieldPosition="0">
        <references count="5">
          <reference field="0" count="1" selected="0">
            <x v="10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0"/>
          </reference>
          <reference field="13" count="1">
            <x v="1"/>
          </reference>
        </references>
      </pivotArea>
    </format>
    <format dxfId="127">
      <pivotArea dataOnly="0" labelOnly="1" fieldPosition="0">
        <references count="5">
          <reference field="0" count="1" selected="0">
            <x v="11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26">
      <pivotArea dataOnly="0" labelOnly="1" fieldPosition="0">
        <references count="5">
          <reference field="0" count="1" selected="0">
            <x v="1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25">
      <pivotArea dataOnly="0" labelOnly="1" fieldPosition="0">
        <references count="5">
          <reference field="0" count="1" selected="0">
            <x v="13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24">
      <pivotArea dataOnly="0" labelOnly="1" fieldPosition="0">
        <references count="5">
          <reference field="0" count="1" selected="0">
            <x v="1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23">
      <pivotArea dataOnly="0" labelOnly="1" fieldPosition="0">
        <references count="5">
          <reference field="0" count="1" selected="0">
            <x v="1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22">
      <pivotArea dataOnly="0" labelOnly="1" fieldPosition="0">
        <references count="5">
          <reference field="0" count="1" selected="0">
            <x v="16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21">
      <pivotArea dataOnly="0" labelOnly="1" fieldPosition="0">
        <references count="5">
          <reference field="0" count="1" selected="0">
            <x v="17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20">
      <pivotArea dataOnly="0" labelOnly="1" fieldPosition="0">
        <references count="5">
          <reference field="0" count="1" selected="0">
            <x v="18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19">
      <pivotArea dataOnly="0" labelOnly="1" fieldPosition="0">
        <references count="5">
          <reference field="0" count="1" selected="0">
            <x v="19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18">
      <pivotArea dataOnly="0" labelOnly="1" fieldPosition="0">
        <references count="5">
          <reference field="0" count="1" selected="0">
            <x v="20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17">
      <pivotArea dataOnly="0" labelOnly="1" fieldPosition="0">
        <references count="5">
          <reference field="0" count="1" selected="0">
            <x v="21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16">
      <pivotArea dataOnly="0" labelOnly="1" fieldPosition="0">
        <references count="5">
          <reference field="0" count="1" selected="0">
            <x v="22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15">
      <pivotArea dataOnly="0" labelOnly="1" fieldPosition="0">
        <references count="5">
          <reference field="0" count="1" selected="0">
            <x v="2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14">
      <pivotArea dataOnly="0" labelOnly="1" fieldPosition="0">
        <references count="5">
          <reference field="0" count="1" selected="0">
            <x v="2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13">
      <pivotArea dataOnly="0" labelOnly="1" fieldPosition="0">
        <references count="5">
          <reference field="0" count="1" selected="0">
            <x v="2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12">
      <pivotArea dataOnly="0" labelOnly="1" fieldPosition="0">
        <references count="5">
          <reference field="0" count="1" selected="0">
            <x v="26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11">
      <pivotArea dataOnly="0" labelOnly="1" fieldPosition="0">
        <references count="5">
          <reference field="0" count="1" selected="0">
            <x v="27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10">
      <pivotArea dataOnly="0" labelOnly="1" fieldPosition="0">
        <references count="5">
          <reference field="0" count="1" selected="0">
            <x v="28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09">
      <pivotArea dataOnly="0" labelOnly="1" fieldPosition="0">
        <references count="5">
          <reference field="0" count="1" selected="0">
            <x v="29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8">
      <pivotArea dataOnly="0" labelOnly="1" fieldPosition="0">
        <references count="5">
          <reference field="0" count="1" selected="0">
            <x v="30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7">
      <pivotArea dataOnly="0" labelOnly="1" fieldPosition="0">
        <references count="5">
          <reference field="0" count="1" selected="0">
            <x v="31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06">
      <pivotArea dataOnly="0" labelOnly="1" fieldPosition="0">
        <references count="5">
          <reference field="0" count="1" selected="0">
            <x v="32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5">
      <pivotArea dataOnly="0" labelOnly="1" fieldPosition="0">
        <references count="5">
          <reference field="0" count="1" selected="0">
            <x v="33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4">
      <pivotArea dataOnly="0" labelOnly="1" fieldPosition="0">
        <references count="5">
          <reference field="0" count="1" selected="0">
            <x v="3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3">
      <pivotArea dataOnly="0" labelOnly="1" fieldPosition="0">
        <references count="5">
          <reference field="0" count="1" selected="0">
            <x v="35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02">
      <pivotArea dataOnly="0" labelOnly="1" fieldPosition="0">
        <references count="5">
          <reference field="0" count="1" selected="0">
            <x v="36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1">
      <pivotArea dataOnly="0" labelOnly="1" fieldPosition="0">
        <references count="5">
          <reference field="0" count="1" selected="0">
            <x v="37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0">
      <pivotArea dataOnly="0" labelOnly="1" fieldPosition="0">
        <references count="5">
          <reference field="0" count="1" selected="0">
            <x v="38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99">
      <pivotArea dataOnly="0" labelOnly="1" fieldPosition="0">
        <references count="5">
          <reference field="0" count="1" selected="0">
            <x v="39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98">
      <pivotArea dataOnly="0" labelOnly="1" fieldPosition="0">
        <references count="5">
          <reference field="0" count="1" selected="0">
            <x v="40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97">
      <pivotArea dataOnly="0" labelOnly="1" fieldPosition="0">
        <references count="5">
          <reference field="0" count="1" selected="0">
            <x v="41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96">
      <pivotArea dataOnly="0" labelOnly="1" fieldPosition="0">
        <references count="5">
          <reference field="0" count="1" selected="0">
            <x v="42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95">
      <pivotArea dataOnly="0" labelOnly="1" fieldPosition="0">
        <references count="5">
          <reference field="0" count="1" selected="0">
            <x v="43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94">
      <pivotArea dataOnly="0" labelOnly="1" fieldPosition="0">
        <references count="5">
          <reference field="0" count="1" selected="0">
            <x v="44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93">
      <pivotArea dataOnly="0" labelOnly="1" fieldPosition="0">
        <references count="5">
          <reference field="0" count="1" selected="0">
            <x v="45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92">
      <pivotArea dataOnly="0" labelOnly="1" fieldPosition="0">
        <references count="5">
          <reference field="0" count="1" selected="0">
            <x v="46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91">
      <pivotArea dataOnly="0" labelOnly="1" fieldPosition="0">
        <references count="5">
          <reference field="0" count="1" selected="0">
            <x v="4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90">
      <pivotArea dataOnly="0" labelOnly="1" fieldPosition="0">
        <references count="5">
          <reference field="0" count="1" selected="0">
            <x v="48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0"/>
          </reference>
          <reference field="13" count="1">
            <x v="1"/>
          </reference>
        </references>
      </pivotArea>
    </format>
    <format dxfId="89">
      <pivotArea dataOnly="0" labelOnly="1" fieldPosition="0">
        <references count="5">
          <reference field="0" count="1" selected="0">
            <x v="49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8">
      <pivotArea dataOnly="0" labelOnly="1" fieldPosition="0">
        <references count="5">
          <reference field="0" count="1" selected="0">
            <x v="50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7">
      <pivotArea dataOnly="0" labelOnly="1" fieldPosition="0">
        <references count="5">
          <reference field="0" count="1" selected="0">
            <x v="5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6">
      <pivotArea dataOnly="0" labelOnly="1" fieldPosition="0">
        <references count="5">
          <reference field="0" count="1" selected="0">
            <x v="5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5">
      <pivotArea dataOnly="0" labelOnly="1" fieldPosition="0">
        <references count="5">
          <reference field="0" count="1" selected="0">
            <x v="53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84">
      <pivotArea dataOnly="0" labelOnly="1" fieldPosition="0">
        <references count="5">
          <reference field="0" count="1" selected="0">
            <x v="5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3">
      <pivotArea dataOnly="0" labelOnly="1" fieldPosition="0">
        <references count="5">
          <reference field="0" count="1" selected="0">
            <x v="5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2">
      <pivotArea dataOnly="0" labelOnly="1" fieldPosition="0">
        <references count="5">
          <reference field="0" count="1" selected="0">
            <x v="56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1">
      <pivotArea dataOnly="0" labelOnly="1" fieldPosition="0">
        <references count="5">
          <reference field="0" count="1" selected="0">
            <x v="57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80">
      <pivotArea dataOnly="0" labelOnly="1" fieldPosition="0">
        <references count="5">
          <reference field="0" count="1" selected="0">
            <x v="58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79">
      <pivotArea dataOnly="0" labelOnly="1" fieldPosition="0">
        <references count="5">
          <reference field="0" count="1" selected="0">
            <x v="59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78">
      <pivotArea dataOnly="0" labelOnly="1" fieldPosition="0">
        <references count="5">
          <reference field="0" count="1" selected="0">
            <x v="60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77">
      <pivotArea dataOnly="0" labelOnly="1" fieldPosition="0">
        <references count="5">
          <reference field="0" count="1" selected="0">
            <x v="61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76">
      <pivotArea dataOnly="0" labelOnly="1" fieldPosition="0">
        <references count="5">
          <reference field="0" count="1" selected="0">
            <x v="62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75">
      <pivotArea dataOnly="0" labelOnly="1" fieldPosition="0">
        <references count="5">
          <reference field="0" count="1" selected="0">
            <x v="63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74">
      <pivotArea dataOnly="0" labelOnly="1" fieldPosition="0">
        <references count="5">
          <reference field="0" count="1" selected="0">
            <x v="6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73">
      <pivotArea dataOnly="0" labelOnly="1" fieldPosition="0">
        <references count="5">
          <reference field="0" count="1" selected="0">
            <x v="6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72">
      <pivotArea dataOnly="0" labelOnly="1" fieldPosition="0">
        <references count="5">
          <reference field="0" count="1" selected="0">
            <x v="66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71">
      <pivotArea dataOnly="0" labelOnly="1" fieldPosition="0">
        <references count="5">
          <reference field="0" count="1" selected="0">
            <x v="67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70">
      <pivotArea dataOnly="0" labelOnly="1" fieldPosition="0">
        <references count="5">
          <reference field="0" count="1" selected="0">
            <x v="68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69">
      <pivotArea dataOnly="0" labelOnly="1" fieldPosition="0">
        <references count="5">
          <reference field="0" count="1" selected="0">
            <x v="69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68">
      <pivotArea dataOnly="0" labelOnly="1" fieldPosition="0">
        <references count="5">
          <reference field="0" count="1" selected="0">
            <x v="70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67">
      <pivotArea dataOnly="0" labelOnly="1" fieldPosition="0">
        <references count="5">
          <reference field="0" count="1" selected="0">
            <x v="71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66">
      <pivotArea dataOnly="0" labelOnly="1" fieldPosition="0">
        <references count="5">
          <reference field="0" count="1" selected="0">
            <x v="72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65">
      <pivotArea dataOnly="0" labelOnly="1" fieldPosition="0">
        <references count="5">
          <reference field="0" count="1" selected="0">
            <x v="73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64">
      <pivotArea dataOnly="0" labelOnly="1" fieldPosition="0">
        <references count="5">
          <reference field="0" count="1" selected="0">
            <x v="7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63">
      <pivotArea dataOnly="0" labelOnly="1" fieldPosition="0">
        <references count="5">
          <reference field="0" count="1" selected="0">
            <x v="7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62">
      <pivotArea dataOnly="0" labelOnly="1" fieldPosition="0">
        <references count="5">
          <reference field="0" count="1" selected="0">
            <x v="76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4"/>
          </reference>
          <reference field="13" count="1">
            <x v="0"/>
          </reference>
        </references>
      </pivotArea>
    </format>
    <format dxfId="61">
      <pivotArea dataOnly="0" labelOnly="1" fieldPosition="0">
        <references count="5">
          <reference field="0" count="1" selected="0">
            <x v="7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60">
      <pivotArea dataOnly="0" labelOnly="1" fieldPosition="0">
        <references count="5">
          <reference field="0" count="1" selected="0">
            <x v="78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59">
      <pivotArea dataOnly="0" labelOnly="1" fieldPosition="0">
        <references count="5">
          <reference field="0" count="1" selected="0">
            <x v="79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58">
      <pivotArea dataOnly="0" labelOnly="1" fieldPosition="0">
        <references count="5">
          <reference field="0" count="1" selected="0">
            <x v="80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57">
      <pivotArea dataOnly="0" labelOnly="1" fieldPosition="0">
        <references count="5">
          <reference field="0" count="1" selected="0">
            <x v="8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4"/>
          </reference>
          <reference field="13" count="1">
            <x v="0"/>
          </reference>
        </references>
      </pivotArea>
    </format>
    <format dxfId="56">
      <pivotArea dataOnly="0" labelOnly="1" fieldPosition="0">
        <references count="5">
          <reference field="0" count="1" selected="0">
            <x v="8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55">
      <pivotArea dataOnly="0" labelOnly="1" fieldPosition="0">
        <references count="5">
          <reference field="0" count="1" selected="0">
            <x v="83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54">
      <pivotArea dataOnly="0" labelOnly="1" fieldPosition="0">
        <references count="5">
          <reference field="0" count="1" selected="0">
            <x v="84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53">
      <pivotArea dataOnly="0" labelOnly="1" fieldPosition="0">
        <references count="5">
          <reference field="0" count="1" selected="0">
            <x v="85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52">
      <pivotArea dataOnly="0" labelOnly="1" fieldPosition="0">
        <references count="5">
          <reference field="0" count="1" selected="0">
            <x v="86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51">
      <pivotArea dataOnly="0" labelOnly="1" fieldPosition="0">
        <references count="5">
          <reference field="0" count="1" selected="0">
            <x v="87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50">
      <pivotArea dataOnly="0" labelOnly="1" fieldPosition="0">
        <references count="5">
          <reference field="0" count="1" selected="0">
            <x v="88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49">
      <pivotArea dataOnly="0" labelOnly="1" fieldPosition="0">
        <references count="5">
          <reference field="0" count="1" selected="0">
            <x v="89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48">
      <pivotArea dataOnly="0" labelOnly="1" fieldPosition="0">
        <references count="5">
          <reference field="0" count="1" selected="0">
            <x v="90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47">
      <pivotArea dataOnly="0" labelOnly="1" fieldPosition="0">
        <references count="5">
          <reference field="0" count="1" selected="0">
            <x v="9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46">
      <pivotArea dataOnly="0" labelOnly="1" fieldPosition="0">
        <references count="5">
          <reference field="0" count="1" selected="0">
            <x v="92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45">
      <pivotArea dataOnly="0" labelOnly="1" fieldPosition="0">
        <references count="5">
          <reference field="0" count="1" selected="0">
            <x v="93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44">
      <pivotArea dataOnly="0" labelOnly="1" fieldPosition="0">
        <references count="5">
          <reference field="0" count="1" selected="0">
            <x v="94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43">
      <pivotArea dataOnly="0" labelOnly="1" fieldPosition="0">
        <references count="5">
          <reference field="0" count="1" selected="0">
            <x v="9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42">
      <pivotArea dataOnly="0" labelOnly="1" fieldPosition="0">
        <references count="5">
          <reference field="0" count="1" selected="0">
            <x v="96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41">
      <pivotArea dataOnly="0" labelOnly="1" fieldPosition="0">
        <references count="5">
          <reference field="0" count="1" selected="0">
            <x v="9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40">
      <pivotArea dataOnly="0" labelOnly="1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39">
      <pivotArea dataOnly="0" labelOnly="1" fieldPosition="0">
        <references count="5">
          <reference field="0" count="1" selected="0">
            <x v="99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38">
      <pivotArea dataOnly="0" labelOnly="1" fieldPosition="0">
        <references count="5">
          <reference field="0" count="1" selected="0">
            <x v="10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37">
      <pivotArea dataOnly="0" labelOnly="1" fieldPosition="0">
        <references count="5">
          <reference field="0" count="1" selected="0">
            <x v="101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36">
      <pivotArea dataOnly="0" labelOnly="1" fieldPosition="0">
        <references count="5">
          <reference field="0" count="1" selected="0">
            <x v="102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35">
      <pivotArea dataOnly="0" labelOnly="1" fieldPosition="0">
        <references count="5">
          <reference field="0" count="1" selected="0">
            <x v="10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34">
      <pivotArea dataOnly="0" labelOnly="1" fieldPosition="0">
        <references count="5">
          <reference field="0" count="1" selected="0">
            <x v="10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33">
      <pivotArea dataOnly="0" labelOnly="1" fieldPosition="0">
        <references count="5">
          <reference field="0" count="1" selected="0">
            <x v="105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32">
      <pivotArea dataOnly="0" labelOnly="1" fieldPosition="0">
        <references count="5">
          <reference field="0" count="1" selected="0">
            <x v="106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31">
      <pivotArea dataOnly="0" labelOnly="1" fieldPosition="0">
        <references count="5">
          <reference field="0" count="1" selected="0">
            <x v="107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30">
      <pivotArea dataOnly="0" labelOnly="1" fieldPosition="0">
        <references count="5">
          <reference field="0" count="1" selected="0">
            <x v="10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29">
      <pivotArea dataOnly="0" labelOnly="1" fieldPosition="0">
        <references count="5">
          <reference field="0" count="1" selected="0">
            <x v="109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28">
      <pivotArea dataOnly="0" labelOnly="1" fieldPosition="0">
        <references count="5">
          <reference field="0" count="1" selected="0">
            <x v="11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27">
      <pivotArea dataOnly="0" labelOnly="1" fieldPosition="0">
        <references count="5">
          <reference field="0" count="1" selected="0">
            <x v="111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26">
      <pivotArea dataOnly="0" labelOnly="1" fieldPosition="0">
        <references count="5">
          <reference field="0" count="1" selected="0">
            <x v="112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25">
      <pivotArea dataOnly="0" labelOnly="1" fieldPosition="0">
        <references count="5">
          <reference field="0" count="1" selected="0">
            <x v="11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24">
      <pivotArea dataOnly="0" labelOnly="1" fieldPosition="0">
        <references count="5">
          <reference field="0" count="1" selected="0">
            <x v="114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23">
      <pivotArea dataOnly="0" labelOnly="1" fieldPosition="0">
        <references count="5">
          <reference field="0" count="1" selected="0">
            <x v="115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22">
      <pivotArea dataOnly="0" labelOnly="1" fieldPosition="0">
        <references count="5">
          <reference field="0" count="1" selected="0">
            <x v="11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21">
      <pivotArea dataOnly="0" labelOnly="1" fieldPosition="0">
        <references count="5">
          <reference field="0" count="1" selected="0">
            <x v="117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20">
      <pivotArea dataOnly="0" labelOnly="1" fieldPosition="0">
        <references count="5">
          <reference field="0" count="1" selected="0">
            <x v="11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9">
      <pivotArea dataOnly="0" labelOnly="1" fieldPosition="0">
        <references count="5">
          <reference field="0" count="1" selected="0">
            <x v="119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8">
      <pivotArea dataOnly="0" labelOnly="1" fieldPosition="0">
        <references count="5">
          <reference field="0" count="1" selected="0">
            <x v="120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7">
      <pivotArea dataOnly="0" labelOnly="1" fieldPosition="0">
        <references count="5">
          <reference field="0" count="1" selected="0">
            <x v="121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6">
      <pivotArea dataOnly="0" labelOnly="1" fieldPosition="0">
        <references count="5">
          <reference field="0" count="1" selected="0">
            <x v="122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5">
      <pivotArea dataOnly="0" labelOnly="1" fieldPosition="0">
        <references count="5">
          <reference field="0" count="1" selected="0">
            <x v="123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4">
      <pivotArea dataOnly="0" labelOnly="1" fieldPosition="0">
        <references count="5">
          <reference field="0" count="1" selected="0">
            <x v="12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>
            <x v="1"/>
          </reference>
        </references>
      </pivotArea>
    </format>
    <format dxfId="13">
      <pivotArea dataOnly="0" labelOnly="1" fieldPosition="0">
        <references count="5">
          <reference field="0" count="1" selected="0">
            <x v="12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2">
      <pivotArea dataOnly="0" labelOnly="1" fieldPosition="0">
        <references count="5">
          <reference field="0" count="1" selected="0">
            <x v="12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1">
      <pivotArea dataOnly="0" labelOnly="1" fieldPosition="0">
        <references count="5">
          <reference field="0" count="1" selected="0">
            <x v="12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10">
      <pivotArea dataOnly="0" labelOnly="1" fieldPosition="0">
        <references count="5">
          <reference field="0" count="1" selected="0">
            <x v="12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>
            <x v="1"/>
          </reference>
        </references>
      </pivotArea>
    </format>
    <format dxfId="9">
      <pivotArea dataOnly="0" labelOnly="1" fieldPosition="0">
        <references count="5">
          <reference field="0" count="1" selected="0">
            <x v="129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6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62">
      <pivotArea type="data" outline="0" fieldPosition="0">
        <references count="6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63">
      <pivotArea type="data" outline="0" fieldPosition="0">
        <references count="6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64">
      <pivotArea type="data" outline="0" fieldPosition="0">
        <references count="6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65">
      <pivotArea type="data" outline="0" fieldPosition="0">
        <references count="6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66">
      <pivotArea type="data" outline="0" fieldPosition="0">
        <references count="6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67">
      <pivotArea type="data" outline="0" fieldPosition="0">
        <references count="6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68">
      <pivotArea type="data" outline="0" fieldPosition="0">
        <references count="6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69">
      <pivotArea type="data" outline="0" fieldPosition="0">
        <references count="6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70">
      <pivotArea type="data" outline="0" fieldPosition="0">
        <references count="6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71">
      <pivotArea type="data" outline="0" fieldPosition="0">
        <references count="6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72">
      <pivotArea type="data" outline="0" fieldPosition="0">
        <references count="6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3" format="273">
      <pivotArea type="data" outline="0" fieldPosition="0">
        <references count="6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74">
      <pivotArea type="data" outline="0" fieldPosition="0">
        <references count="6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75">
      <pivotArea type="data" outline="0" fieldPosition="0">
        <references count="6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76">
      <pivotArea type="data" outline="0" fieldPosition="0">
        <references count="6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77">
      <pivotArea type="data" outline="0" fieldPosition="0">
        <references count="6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78">
      <pivotArea type="data" outline="0" fieldPosition="0">
        <references count="6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79">
      <pivotArea type="data" outline="0" fieldPosition="0">
        <references count="6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80">
      <pivotArea type="data" outline="0" fieldPosition="0">
        <references count="6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81">
      <pivotArea type="data" outline="0" fieldPosition="0">
        <references count="6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82">
      <pivotArea type="data" outline="0" fieldPosition="0">
        <references count="6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83">
      <pivotArea type="data" outline="0" fieldPosition="0">
        <references count="6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84">
      <pivotArea type="data" outline="0" fieldPosition="0">
        <references count="6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85">
      <pivotArea type="data" outline="0" fieldPosition="0">
        <references count="6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86">
      <pivotArea type="data" outline="0" fieldPosition="0">
        <references count="6">
          <reference field="4294967294" count="1" selected="0">
            <x v="0"/>
          </reference>
          <reference field="0" count="1" selected="0">
            <x v="2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87">
      <pivotArea type="data" outline="0" fieldPosition="0">
        <references count="6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88">
      <pivotArea type="data" outline="0" fieldPosition="0">
        <references count="6">
          <reference field="4294967294" count="1" selected="0">
            <x v="0"/>
          </reference>
          <reference field="0" count="1" selected="0">
            <x v="26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89">
      <pivotArea type="data" outline="0" fieldPosition="0">
        <references count="6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90">
      <pivotArea type="data" outline="0" fieldPosition="0">
        <references count="6">
          <reference field="4294967294" count="1" selected="0">
            <x v="0"/>
          </reference>
          <reference field="0" count="1" selected="0">
            <x v="28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291">
      <pivotArea type="data" outline="0" fieldPosition="0">
        <references count="6">
          <reference field="4294967294" count="1" selected="0">
            <x v="0"/>
          </reference>
          <reference field="0" count="1" selected="0">
            <x v="29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92">
      <pivotArea type="data" outline="0" fieldPosition="0">
        <references count="6">
          <reference field="4294967294" count="1" selected="0">
            <x v="0"/>
          </reference>
          <reference field="0" count="1" selected="0">
            <x v="30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93">
      <pivotArea type="data" outline="0" fieldPosition="0">
        <references count="6">
          <reference field="4294967294" count="1" selected="0">
            <x v="0"/>
          </reference>
          <reference field="0" count="1" selected="0">
            <x v="31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94">
      <pivotArea type="data" outline="0" fieldPosition="0">
        <references count="6">
          <reference field="4294967294" count="1" selected="0">
            <x v="0"/>
          </reference>
          <reference field="0" count="1" selected="0">
            <x v="32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95">
      <pivotArea type="data" outline="0" fieldPosition="0">
        <references count="6">
          <reference field="4294967294" count="1" selected="0">
            <x v="0"/>
          </reference>
          <reference field="0" count="1" selected="0">
            <x v="33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96">
      <pivotArea type="data" outline="0" fieldPosition="0">
        <references count="6">
          <reference field="4294967294" count="1" selected="0">
            <x v="0"/>
          </reference>
          <reference field="0" count="1" selected="0">
            <x v="3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97">
      <pivotArea type="data" outline="0" fieldPosition="0">
        <references count="6">
          <reference field="4294967294" count="1" selected="0">
            <x v="0"/>
          </reference>
          <reference field="0" count="1" selected="0">
            <x v="35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298">
      <pivotArea type="data" outline="0" fieldPosition="0">
        <references count="6">
          <reference field="4294967294" count="1" selected="0">
            <x v="0"/>
          </reference>
          <reference field="0" count="1" selected="0">
            <x v="36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299">
      <pivotArea type="data" outline="0" fieldPosition="0">
        <references count="6">
          <reference field="4294967294" count="1" selected="0">
            <x v="0"/>
          </reference>
          <reference field="0" count="1" selected="0">
            <x v="37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00">
      <pivotArea type="data" outline="0" fieldPosition="0">
        <references count="6">
          <reference field="4294967294" count="1" selected="0">
            <x v="0"/>
          </reference>
          <reference field="0" count="1" selected="0">
            <x v="38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01">
      <pivotArea type="data" outline="0" fieldPosition="0">
        <references count="6">
          <reference field="4294967294" count="1" selected="0">
            <x v="0"/>
          </reference>
          <reference field="0" count="1" selected="0">
            <x v="39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02">
      <pivotArea type="data" outline="0" fieldPosition="0">
        <references count="6">
          <reference field="4294967294" count="1" selected="0">
            <x v="0"/>
          </reference>
          <reference field="0" count="1" selected="0">
            <x v="40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03">
      <pivotArea type="data" outline="0" fieldPosition="0">
        <references count="6">
          <reference field="4294967294" count="1" selected="0">
            <x v="0"/>
          </reference>
          <reference field="0" count="1" selected="0">
            <x v="41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04">
      <pivotArea type="data" outline="0" fieldPosition="0">
        <references count="6">
          <reference field="4294967294" count="1" selected="0">
            <x v="0"/>
          </reference>
          <reference field="0" count="1" selected="0">
            <x v="42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05">
      <pivotArea type="data" outline="0" fieldPosition="0">
        <references count="6">
          <reference field="4294967294" count="1" selected="0">
            <x v="0"/>
          </reference>
          <reference field="0" count="1" selected="0">
            <x v="43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06">
      <pivotArea type="data" outline="0" fieldPosition="0">
        <references count="6">
          <reference field="4294967294" count="1" selected="0">
            <x v="0"/>
          </reference>
          <reference field="0" count="1" selected="0">
            <x v="44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07">
      <pivotArea type="data" outline="0" fieldPosition="0">
        <references count="6">
          <reference field="4294967294" count="1" selected="0">
            <x v="0"/>
          </reference>
          <reference field="0" count="1" selected="0">
            <x v="45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08">
      <pivotArea type="data" outline="0" fieldPosition="0">
        <references count="6">
          <reference field="4294967294" count="1" selected="0">
            <x v="0"/>
          </reference>
          <reference field="0" count="1" selected="0">
            <x v="46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09">
      <pivotArea type="data" outline="0" fieldPosition="0">
        <references count="6">
          <reference field="4294967294" count="1" selected="0">
            <x v="0"/>
          </reference>
          <reference field="0" count="1" selected="0">
            <x v="4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10">
      <pivotArea type="data" outline="0" fieldPosition="0">
        <references count="6">
          <reference field="4294967294" count="1" selected="0">
            <x v="0"/>
          </reference>
          <reference field="0" count="1" selected="0">
            <x v="48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3" format="311">
      <pivotArea type="data" outline="0" fieldPosition="0">
        <references count="6">
          <reference field="4294967294" count="1" selected="0">
            <x v="0"/>
          </reference>
          <reference field="0" count="1" selected="0">
            <x v="49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12">
      <pivotArea type="data" outline="0" fieldPosition="0">
        <references count="6">
          <reference field="4294967294" count="1" selected="0">
            <x v="0"/>
          </reference>
          <reference field="0" count="1" selected="0">
            <x v="50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13">
      <pivotArea type="data" outline="0" fieldPosition="0">
        <references count="6">
          <reference field="4294967294" count="1" selected="0">
            <x v="0"/>
          </reference>
          <reference field="0" count="1" selected="0">
            <x v="5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14">
      <pivotArea type="data" outline="0" fieldPosition="0">
        <references count="6">
          <reference field="4294967294" count="1" selected="0">
            <x v="0"/>
          </reference>
          <reference field="0" count="1" selected="0">
            <x v="5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15">
      <pivotArea type="data" outline="0" fieldPosition="0">
        <references count="6">
          <reference field="4294967294" count="1" selected="0">
            <x v="0"/>
          </reference>
          <reference field="0" count="1" selected="0">
            <x v="53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16">
      <pivotArea type="data" outline="0" fieldPosition="0">
        <references count="6">
          <reference field="4294967294" count="1" selected="0">
            <x v="0"/>
          </reference>
          <reference field="0" count="1" selected="0">
            <x v="5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17">
      <pivotArea type="data" outline="0" fieldPosition="0">
        <references count="6">
          <reference field="4294967294" count="1" selected="0">
            <x v="0"/>
          </reference>
          <reference field="0" count="1" selected="0">
            <x v="5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18">
      <pivotArea type="data" outline="0" fieldPosition="0">
        <references count="6">
          <reference field="4294967294" count="1" selected="0">
            <x v="0"/>
          </reference>
          <reference field="0" count="1" selected="0">
            <x v="56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19">
      <pivotArea type="data" outline="0" fieldPosition="0">
        <references count="6">
          <reference field="4294967294" count="1" selected="0">
            <x v="0"/>
          </reference>
          <reference field="0" count="1" selected="0">
            <x v="57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20">
      <pivotArea type="data" outline="0" fieldPosition="0">
        <references count="6">
          <reference field="4294967294" count="1" selected="0">
            <x v="0"/>
          </reference>
          <reference field="0" count="1" selected="0">
            <x v="58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21">
      <pivotArea type="data" outline="0" fieldPosition="0">
        <references count="6">
          <reference field="4294967294" count="1" selected="0">
            <x v="0"/>
          </reference>
          <reference field="0" count="1" selected="0">
            <x v="59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22">
      <pivotArea type="data" outline="0" fieldPosition="0">
        <references count="6">
          <reference field="4294967294" count="1" selected="0">
            <x v="0"/>
          </reference>
          <reference field="0" count="1" selected="0">
            <x v="60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23">
      <pivotArea type="data" outline="0" fieldPosition="0">
        <references count="6">
          <reference field="4294967294" count="1" selected="0">
            <x v="0"/>
          </reference>
          <reference field="0" count="1" selected="0">
            <x v="61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24">
      <pivotArea type="data" outline="0" fieldPosition="0">
        <references count="6">
          <reference field="4294967294" count="1" selected="0">
            <x v="0"/>
          </reference>
          <reference field="0" count="1" selected="0">
            <x v="62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25">
      <pivotArea type="data" outline="0" fieldPosition="0">
        <references count="6">
          <reference field="4294967294" count="1" selected="0">
            <x v="0"/>
          </reference>
          <reference field="0" count="1" selected="0">
            <x v="63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26">
      <pivotArea type="data" outline="0" fieldPosition="0">
        <references count="6">
          <reference field="4294967294" count="1" selected="0">
            <x v="0"/>
          </reference>
          <reference field="0" count="1" selected="0">
            <x v="6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27">
      <pivotArea type="data" outline="0" fieldPosition="0">
        <references count="6">
          <reference field="4294967294" count="1" selected="0">
            <x v="0"/>
          </reference>
          <reference field="0" count="1" selected="0">
            <x v="6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28">
      <pivotArea type="data" outline="0" fieldPosition="0">
        <references count="6">
          <reference field="4294967294" count="1" selected="0">
            <x v="0"/>
          </reference>
          <reference field="0" count="1" selected="0">
            <x v="66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29">
      <pivotArea type="data" outline="0" fieldPosition="0">
        <references count="6">
          <reference field="4294967294" count="1" selected="0">
            <x v="0"/>
          </reference>
          <reference field="0" count="1" selected="0">
            <x v="67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30">
      <pivotArea type="data" outline="0" fieldPosition="0">
        <references count="6">
          <reference field="4294967294" count="1" selected="0">
            <x v="0"/>
          </reference>
          <reference field="0" count="1" selected="0">
            <x v="68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31">
      <pivotArea type="data" outline="0" fieldPosition="0">
        <references count="6">
          <reference field="4294967294" count="1" selected="0">
            <x v="0"/>
          </reference>
          <reference field="0" count="1" selected="0">
            <x v="69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32">
      <pivotArea type="data" outline="0" fieldPosition="0">
        <references count="6">
          <reference field="4294967294" count="1" selected="0">
            <x v="0"/>
          </reference>
          <reference field="0" count="1" selected="0">
            <x v="70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33">
      <pivotArea type="data" outline="0" fieldPosition="0">
        <references count="6">
          <reference field="4294967294" count="1" selected="0">
            <x v="0"/>
          </reference>
          <reference field="0" count="1" selected="0">
            <x v="71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34">
      <pivotArea type="data" outline="0" fieldPosition="0">
        <references count="6">
          <reference field="4294967294" count="1" selected="0">
            <x v="0"/>
          </reference>
          <reference field="0" count="1" selected="0">
            <x v="72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35">
      <pivotArea type="data" outline="0" fieldPosition="0">
        <references count="6">
          <reference field="4294967294" count="1" selected="0">
            <x v="0"/>
          </reference>
          <reference field="0" count="1" selected="0">
            <x v="73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36">
      <pivotArea type="data" outline="0" fieldPosition="0">
        <references count="6">
          <reference field="4294967294" count="1" selected="0">
            <x v="0"/>
          </reference>
          <reference field="0" count="1" selected="0">
            <x v="7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37">
      <pivotArea type="data" outline="0" fieldPosition="0">
        <references count="6">
          <reference field="4294967294" count="1" selected="0">
            <x v="0"/>
          </reference>
          <reference field="0" count="1" selected="0">
            <x v="7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38">
      <pivotArea type="data" outline="0" fieldPosition="0">
        <references count="6">
          <reference field="4294967294" count="1" selected="0">
            <x v="0"/>
          </reference>
          <reference field="0" count="1" selected="0">
            <x v="76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4"/>
          </reference>
          <reference field="13" count="1" selected="0">
            <x v="0"/>
          </reference>
        </references>
      </pivotArea>
    </chartFormat>
    <chartFormat chart="3" format="339">
      <pivotArea type="data" outline="0" fieldPosition="0">
        <references count="6">
          <reference field="4294967294" count="1" selected="0">
            <x v="0"/>
          </reference>
          <reference field="0" count="1" selected="0">
            <x v="7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40">
      <pivotArea type="data" outline="0" fieldPosition="0">
        <references count="6">
          <reference field="4294967294" count="1" selected="0">
            <x v="0"/>
          </reference>
          <reference field="0" count="1" selected="0">
            <x v="78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41">
      <pivotArea type="data" outline="0" fieldPosition="0">
        <references count="6">
          <reference field="4294967294" count="1" selected="0">
            <x v="0"/>
          </reference>
          <reference field="0" count="1" selected="0">
            <x v="79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42">
      <pivotArea type="data" outline="0" fieldPosition="0">
        <references count="6">
          <reference field="4294967294" count="1" selected="0">
            <x v="0"/>
          </reference>
          <reference field="0" count="1" selected="0">
            <x v="80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43">
      <pivotArea type="data" outline="0" fieldPosition="0">
        <references count="6">
          <reference field="4294967294" count="1" selected="0">
            <x v="0"/>
          </reference>
          <reference field="0" count="1" selected="0">
            <x v="8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4"/>
          </reference>
          <reference field="13" count="1" selected="0">
            <x v="0"/>
          </reference>
        </references>
      </pivotArea>
    </chartFormat>
    <chartFormat chart="3" format="344">
      <pivotArea type="data" outline="0" fieldPosition="0">
        <references count="6">
          <reference field="4294967294" count="1" selected="0">
            <x v="0"/>
          </reference>
          <reference field="0" count="1" selected="0">
            <x v="8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45">
      <pivotArea type="data" outline="0" fieldPosition="0">
        <references count="6">
          <reference field="4294967294" count="1" selected="0">
            <x v="0"/>
          </reference>
          <reference field="0" count="1" selected="0">
            <x v="83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46">
      <pivotArea type="data" outline="0" fieldPosition="0">
        <references count="6">
          <reference field="4294967294" count="1" selected="0">
            <x v="0"/>
          </reference>
          <reference field="0" count="1" selected="0">
            <x v="84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47">
      <pivotArea type="data" outline="0" fieldPosition="0">
        <references count="6">
          <reference field="4294967294" count="1" selected="0">
            <x v="0"/>
          </reference>
          <reference field="0" count="1" selected="0">
            <x v="85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48">
      <pivotArea type="data" outline="0" fieldPosition="0">
        <references count="6">
          <reference field="4294967294" count="1" selected="0">
            <x v="0"/>
          </reference>
          <reference field="0" count="1" selected="0">
            <x v="86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49">
      <pivotArea type="data" outline="0" fieldPosition="0">
        <references count="6">
          <reference field="4294967294" count="1" selected="0">
            <x v="0"/>
          </reference>
          <reference field="0" count="1" selected="0">
            <x v="87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50">
      <pivotArea type="data" outline="0" fieldPosition="0">
        <references count="6">
          <reference field="4294967294" count="1" selected="0">
            <x v="0"/>
          </reference>
          <reference field="0" count="1" selected="0">
            <x v="88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51">
      <pivotArea type="data" outline="0" fieldPosition="0">
        <references count="6">
          <reference field="4294967294" count="1" selected="0">
            <x v="0"/>
          </reference>
          <reference field="0" count="1" selected="0">
            <x v="89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52">
      <pivotArea type="data" outline="0" fieldPosition="0">
        <references count="6">
          <reference field="4294967294" count="1" selected="0">
            <x v="0"/>
          </reference>
          <reference field="0" count="1" selected="0">
            <x v="90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53">
      <pivotArea type="data" outline="0" fieldPosition="0">
        <references count="6">
          <reference field="4294967294" count="1" selected="0">
            <x v="0"/>
          </reference>
          <reference field="0" count="1" selected="0">
            <x v="9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54">
      <pivotArea type="data" outline="0" fieldPosition="0">
        <references count="6">
          <reference field="4294967294" count="1" selected="0">
            <x v="0"/>
          </reference>
          <reference field="0" count="1" selected="0">
            <x v="92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55">
      <pivotArea type="data" outline="0" fieldPosition="0">
        <references count="6">
          <reference field="4294967294" count="1" selected="0">
            <x v="0"/>
          </reference>
          <reference field="0" count="1" selected="0">
            <x v="93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56">
      <pivotArea type="data" outline="0" fieldPosition="0">
        <references count="6">
          <reference field="4294967294" count="1" selected="0">
            <x v="0"/>
          </reference>
          <reference field="0" count="1" selected="0">
            <x v="94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57">
      <pivotArea type="data" outline="0" fieldPosition="0">
        <references count="6">
          <reference field="4294967294" count="1" selected="0">
            <x v="0"/>
          </reference>
          <reference field="0" count="1" selected="0">
            <x v="9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58">
      <pivotArea type="data" outline="0" fieldPosition="0">
        <references count="6">
          <reference field="4294967294" count="1" selected="0">
            <x v="0"/>
          </reference>
          <reference field="0" count="1" selected="0">
            <x v="96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59">
      <pivotArea type="data" outline="0" fieldPosition="0">
        <references count="6">
          <reference field="4294967294" count="1" selected="0">
            <x v="0"/>
          </reference>
          <reference field="0" count="1" selected="0">
            <x v="9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60">
      <pivotArea type="data" outline="0" fieldPosition="0">
        <references count="6">
          <reference field="4294967294" count="1" selected="0">
            <x v="0"/>
          </reference>
          <reference field="0" count="1" selected="0">
            <x v="98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61">
      <pivotArea type="data" outline="0" fieldPosition="0">
        <references count="6">
          <reference field="4294967294" count="1" selected="0">
            <x v="0"/>
          </reference>
          <reference field="0" count="1" selected="0">
            <x v="99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62">
      <pivotArea type="data" outline="0" fieldPosition="0">
        <references count="6">
          <reference field="4294967294" count="1" selected="0">
            <x v="0"/>
          </reference>
          <reference field="0" count="1" selected="0">
            <x v="10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63">
      <pivotArea type="data" outline="0" fieldPosition="0">
        <references count="6">
          <reference field="4294967294" count="1" selected="0">
            <x v="0"/>
          </reference>
          <reference field="0" count="1" selected="0">
            <x v="101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64">
      <pivotArea type="data" outline="0" fieldPosition="0">
        <references count="6">
          <reference field="4294967294" count="1" selected="0">
            <x v="0"/>
          </reference>
          <reference field="0" count="1" selected="0">
            <x v="102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65">
      <pivotArea type="data" outline="0" fieldPosition="0">
        <references count="6">
          <reference field="4294967294" count="1" selected="0">
            <x v="0"/>
          </reference>
          <reference field="0" count="1" selected="0">
            <x v="10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66">
      <pivotArea type="data" outline="0" fieldPosition="0">
        <references count="6">
          <reference field="4294967294" count="1" selected="0">
            <x v="0"/>
          </reference>
          <reference field="0" count="1" selected="0">
            <x v="10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67">
      <pivotArea type="data" outline="0" fieldPosition="0">
        <references count="6">
          <reference field="4294967294" count="1" selected="0">
            <x v="0"/>
          </reference>
          <reference field="0" count="1" selected="0">
            <x v="105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68">
      <pivotArea type="data" outline="0" fieldPosition="0">
        <references count="6">
          <reference field="4294967294" count="1" selected="0">
            <x v="0"/>
          </reference>
          <reference field="0" count="1" selected="0">
            <x v="106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69">
      <pivotArea type="data" outline="0" fieldPosition="0">
        <references count="6">
          <reference field="4294967294" count="1" selected="0">
            <x v="0"/>
          </reference>
          <reference field="0" count="1" selected="0">
            <x v="107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70">
      <pivotArea type="data" outline="0" fieldPosition="0">
        <references count="6">
          <reference field="4294967294" count="1" selected="0">
            <x v="0"/>
          </reference>
          <reference field="0" count="1" selected="0">
            <x v="10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71">
      <pivotArea type="data" outline="0" fieldPosition="0">
        <references count="6">
          <reference field="4294967294" count="1" selected="0">
            <x v="0"/>
          </reference>
          <reference field="0" count="1" selected="0">
            <x v="109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72">
      <pivotArea type="data" outline="0" fieldPosition="0">
        <references count="6">
          <reference field="4294967294" count="1" selected="0">
            <x v="0"/>
          </reference>
          <reference field="0" count="1" selected="0">
            <x v="11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73">
      <pivotArea type="data" outline="0" fieldPosition="0">
        <references count="6">
          <reference field="4294967294" count="1" selected="0">
            <x v="0"/>
          </reference>
          <reference field="0" count="1" selected="0">
            <x v="111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74">
      <pivotArea type="data" outline="0" fieldPosition="0">
        <references count="6">
          <reference field="4294967294" count="1" selected="0">
            <x v="0"/>
          </reference>
          <reference field="0" count="1" selected="0">
            <x v="112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75">
      <pivotArea type="data" outline="0" fieldPosition="0">
        <references count="6">
          <reference field="4294967294" count="1" selected="0">
            <x v="0"/>
          </reference>
          <reference field="0" count="1" selected="0">
            <x v="11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76">
      <pivotArea type="data" outline="0" fieldPosition="0">
        <references count="6">
          <reference field="4294967294" count="1" selected="0">
            <x v="0"/>
          </reference>
          <reference field="0" count="1" selected="0">
            <x v="114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77">
      <pivotArea type="data" outline="0" fieldPosition="0">
        <references count="6">
          <reference field="4294967294" count="1" selected="0">
            <x v="0"/>
          </reference>
          <reference field="0" count="1" selected="0">
            <x v="115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78">
      <pivotArea type="data" outline="0" fieldPosition="0">
        <references count="6">
          <reference field="4294967294" count="1" selected="0">
            <x v="0"/>
          </reference>
          <reference field="0" count="1" selected="0">
            <x v="11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79">
      <pivotArea type="data" outline="0" fieldPosition="0">
        <references count="6">
          <reference field="4294967294" count="1" selected="0">
            <x v="0"/>
          </reference>
          <reference field="0" count="1" selected="0">
            <x v="117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80">
      <pivotArea type="data" outline="0" fieldPosition="0">
        <references count="6">
          <reference field="4294967294" count="1" selected="0">
            <x v="0"/>
          </reference>
          <reference field="0" count="1" selected="0">
            <x v="11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81">
      <pivotArea type="data" outline="0" fieldPosition="0">
        <references count="6">
          <reference field="4294967294" count="1" selected="0">
            <x v="0"/>
          </reference>
          <reference field="0" count="1" selected="0">
            <x v="119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82">
      <pivotArea type="data" outline="0" fieldPosition="0">
        <references count="6">
          <reference field="4294967294" count="1" selected="0">
            <x v="0"/>
          </reference>
          <reference field="0" count="1" selected="0">
            <x v="120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83">
      <pivotArea type="data" outline="0" fieldPosition="0">
        <references count="6">
          <reference field="4294967294" count="1" selected="0">
            <x v="0"/>
          </reference>
          <reference field="0" count="1" selected="0">
            <x v="121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84">
      <pivotArea type="data" outline="0" fieldPosition="0">
        <references count="6">
          <reference field="4294967294" count="1" selected="0">
            <x v="0"/>
          </reference>
          <reference field="0" count="1" selected="0">
            <x v="122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85">
      <pivotArea type="data" outline="0" fieldPosition="0">
        <references count="6">
          <reference field="4294967294" count="1" selected="0">
            <x v="0"/>
          </reference>
          <reference field="0" count="1" selected="0">
            <x v="123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86">
      <pivotArea type="data" outline="0" fieldPosition="0">
        <references count="6">
          <reference field="4294967294" count="1" selected="0">
            <x v="0"/>
          </reference>
          <reference field="0" count="1" selected="0">
            <x v="12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87">
      <pivotArea type="data" outline="0" fieldPosition="0">
        <references count="6">
          <reference field="4294967294" count="1" selected="0">
            <x v="0"/>
          </reference>
          <reference field="0" count="1" selected="0">
            <x v="12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88">
      <pivotArea type="data" outline="0" fieldPosition="0">
        <references count="6">
          <reference field="4294967294" count="1" selected="0">
            <x v="0"/>
          </reference>
          <reference field="0" count="1" selected="0">
            <x v="12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89">
      <pivotArea type="data" outline="0" fieldPosition="0">
        <references count="6">
          <reference field="4294967294" count="1" selected="0">
            <x v="0"/>
          </reference>
          <reference field="0" count="1" selected="0">
            <x v="12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90">
      <pivotArea type="data" outline="0" fieldPosition="0">
        <references count="6">
          <reference field="4294967294" count="1" selected="0">
            <x v="0"/>
          </reference>
          <reference field="0" count="1" selected="0">
            <x v="12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91">
      <pivotArea type="data" outline="0" fieldPosition="0">
        <references count="6">
          <reference field="4294967294" count="1" selected="0">
            <x v="0"/>
          </reference>
          <reference field="0" count="1" selected="0">
            <x v="129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92">
      <pivotArea type="data" outline="0" fieldPosition="0">
        <references count="6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93">
      <pivotArea type="data" outline="0" fieldPosition="0">
        <references count="6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94">
      <pivotArea type="data" outline="0" fieldPosition="0">
        <references count="6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95">
      <pivotArea type="data" outline="0" fieldPosition="0">
        <references count="6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96">
      <pivotArea type="data" outline="0" fieldPosition="0">
        <references count="6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397">
      <pivotArea type="data" outline="0" fieldPosition="0">
        <references count="6">
          <reference field="4294967294" count="1" selected="0">
            <x v="1"/>
          </reference>
          <reference field="0" count="1" selected="0">
            <x v="5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398">
      <pivotArea type="data" outline="0" fieldPosition="0">
        <references count="6">
          <reference field="4294967294" count="1" selected="0">
            <x v="1"/>
          </reference>
          <reference field="0" count="1" selected="0">
            <x v="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399">
      <pivotArea type="data" outline="0" fieldPosition="0">
        <references count="6">
          <reference field="4294967294" count="1" selected="0">
            <x v="1"/>
          </reference>
          <reference field="0" count="1" selected="0">
            <x v="7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00">
      <pivotArea type="data" outline="0" fieldPosition="0">
        <references count="6">
          <reference field="4294967294" count="1" selected="0">
            <x v="1"/>
          </reference>
          <reference field="0" count="1" selected="0">
            <x v="8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01">
      <pivotArea type="data" outline="0" fieldPosition="0">
        <references count="6">
          <reference field="4294967294" count="1" selected="0">
            <x v="1"/>
          </reference>
          <reference field="0" count="1" selected="0">
            <x v="9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02">
      <pivotArea type="data" outline="0" fieldPosition="0">
        <references count="6">
          <reference field="4294967294" count="1" selected="0">
            <x v="1"/>
          </reference>
          <reference field="0" count="1" selected="0">
            <x v="10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3" format="403">
      <pivotArea type="data" outline="0" fieldPosition="0">
        <references count="6">
          <reference field="4294967294" count="1" selected="0">
            <x v="1"/>
          </reference>
          <reference field="0" count="1" selected="0">
            <x v="11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04">
      <pivotArea type="data" outline="0" fieldPosition="0">
        <references count="6">
          <reference field="4294967294" count="1" selected="0">
            <x v="1"/>
          </reference>
          <reference field="0" count="1" selected="0">
            <x v="1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05">
      <pivotArea type="data" outline="0" fieldPosition="0">
        <references count="6">
          <reference field="4294967294" count="1" selected="0">
            <x v="1"/>
          </reference>
          <reference field="0" count="1" selected="0">
            <x v="13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06">
      <pivotArea type="data" outline="0" fieldPosition="0">
        <references count="6">
          <reference field="4294967294" count="1" selected="0">
            <x v="1"/>
          </reference>
          <reference field="0" count="1" selected="0">
            <x v="1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07">
      <pivotArea type="data" outline="0" fieldPosition="0">
        <references count="6">
          <reference field="4294967294" count="1" selected="0">
            <x v="1"/>
          </reference>
          <reference field="0" count="1" selected="0">
            <x v="1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08">
      <pivotArea type="data" outline="0" fieldPosition="0">
        <references count="6">
          <reference field="4294967294" count="1" selected="0">
            <x v="1"/>
          </reference>
          <reference field="0" count="1" selected="0">
            <x v="16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09">
      <pivotArea type="data" outline="0" fieldPosition="0">
        <references count="6">
          <reference field="4294967294" count="1" selected="0">
            <x v="1"/>
          </reference>
          <reference field="0" count="1" selected="0">
            <x v="17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10">
      <pivotArea type="data" outline="0" fieldPosition="0">
        <references count="6">
          <reference field="4294967294" count="1" selected="0">
            <x v="1"/>
          </reference>
          <reference field="0" count="1" selected="0">
            <x v="18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11">
      <pivotArea type="data" outline="0" fieldPosition="0">
        <references count="6">
          <reference field="4294967294" count="1" selected="0">
            <x v="1"/>
          </reference>
          <reference field="0" count="1" selected="0">
            <x v="19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12">
      <pivotArea type="data" outline="0" fieldPosition="0">
        <references count="6">
          <reference field="4294967294" count="1" selected="0">
            <x v="1"/>
          </reference>
          <reference field="0" count="1" selected="0">
            <x v="20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13">
      <pivotArea type="data" outline="0" fieldPosition="0">
        <references count="6">
          <reference field="4294967294" count="1" selected="0">
            <x v="1"/>
          </reference>
          <reference field="0" count="1" selected="0">
            <x v="21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14">
      <pivotArea type="data" outline="0" fieldPosition="0">
        <references count="6">
          <reference field="4294967294" count="1" selected="0">
            <x v="1"/>
          </reference>
          <reference field="0" count="1" selected="0">
            <x v="22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15">
      <pivotArea type="data" outline="0" fieldPosition="0">
        <references count="6">
          <reference field="4294967294" count="1" selected="0">
            <x v="1"/>
          </reference>
          <reference field="0" count="1" selected="0">
            <x v="2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16">
      <pivotArea type="data" outline="0" fieldPosition="0">
        <references count="6">
          <reference field="4294967294" count="1" selected="0">
            <x v="1"/>
          </reference>
          <reference field="0" count="1" selected="0">
            <x v="2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17">
      <pivotArea type="data" outline="0" fieldPosition="0">
        <references count="6">
          <reference field="4294967294" count="1" selected="0">
            <x v="1"/>
          </reference>
          <reference field="0" count="1" selected="0">
            <x v="2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18">
      <pivotArea type="data" outline="0" fieldPosition="0">
        <references count="6">
          <reference field="4294967294" count="1" selected="0">
            <x v="1"/>
          </reference>
          <reference field="0" count="1" selected="0">
            <x v="26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19">
      <pivotArea type="data" outline="0" fieldPosition="0">
        <references count="6">
          <reference field="4294967294" count="1" selected="0">
            <x v="1"/>
          </reference>
          <reference field="0" count="1" selected="0">
            <x v="27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20">
      <pivotArea type="data" outline="0" fieldPosition="0">
        <references count="6">
          <reference field="4294967294" count="1" selected="0">
            <x v="1"/>
          </reference>
          <reference field="0" count="1" selected="0">
            <x v="28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21">
      <pivotArea type="data" outline="0" fieldPosition="0">
        <references count="6">
          <reference field="4294967294" count="1" selected="0">
            <x v="1"/>
          </reference>
          <reference field="0" count="1" selected="0">
            <x v="29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22">
      <pivotArea type="data" outline="0" fieldPosition="0">
        <references count="6">
          <reference field="4294967294" count="1" selected="0">
            <x v="1"/>
          </reference>
          <reference field="0" count="1" selected="0">
            <x v="30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23">
      <pivotArea type="data" outline="0" fieldPosition="0">
        <references count="6">
          <reference field="4294967294" count="1" selected="0">
            <x v="1"/>
          </reference>
          <reference field="0" count="1" selected="0">
            <x v="31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24">
      <pivotArea type="data" outline="0" fieldPosition="0">
        <references count="6">
          <reference field="4294967294" count="1" selected="0">
            <x v="1"/>
          </reference>
          <reference field="0" count="1" selected="0">
            <x v="32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25">
      <pivotArea type="data" outline="0" fieldPosition="0">
        <references count="6">
          <reference field="4294967294" count="1" selected="0">
            <x v="1"/>
          </reference>
          <reference field="0" count="1" selected="0">
            <x v="33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26">
      <pivotArea type="data" outline="0" fieldPosition="0">
        <references count="6">
          <reference field="4294967294" count="1" selected="0">
            <x v="1"/>
          </reference>
          <reference field="0" count="1" selected="0">
            <x v="34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27">
      <pivotArea type="data" outline="0" fieldPosition="0">
        <references count="6">
          <reference field="4294967294" count="1" selected="0">
            <x v="1"/>
          </reference>
          <reference field="0" count="1" selected="0">
            <x v="35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28">
      <pivotArea type="data" outline="0" fieldPosition="0">
        <references count="6">
          <reference field="4294967294" count="1" selected="0">
            <x v="1"/>
          </reference>
          <reference field="0" count="1" selected="0">
            <x v="36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29">
      <pivotArea type="data" outline="0" fieldPosition="0">
        <references count="6">
          <reference field="4294967294" count="1" selected="0">
            <x v="1"/>
          </reference>
          <reference field="0" count="1" selected="0">
            <x v="37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30">
      <pivotArea type="data" outline="0" fieldPosition="0">
        <references count="6">
          <reference field="4294967294" count="1" selected="0">
            <x v="1"/>
          </reference>
          <reference field="0" count="1" selected="0">
            <x v="38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31">
      <pivotArea type="data" outline="0" fieldPosition="0">
        <references count="6">
          <reference field="4294967294" count="1" selected="0">
            <x v="1"/>
          </reference>
          <reference field="0" count="1" selected="0">
            <x v="39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32">
      <pivotArea type="data" outline="0" fieldPosition="0">
        <references count="6">
          <reference field="4294967294" count="1" selected="0">
            <x v="1"/>
          </reference>
          <reference field="0" count="1" selected="0">
            <x v="40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33">
      <pivotArea type="data" outline="0" fieldPosition="0">
        <references count="6">
          <reference field="4294967294" count="1" selected="0">
            <x v="1"/>
          </reference>
          <reference field="0" count="1" selected="0">
            <x v="41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34">
      <pivotArea type="data" outline="0" fieldPosition="0">
        <references count="6">
          <reference field="4294967294" count="1" selected="0">
            <x v="1"/>
          </reference>
          <reference field="0" count="1" selected="0">
            <x v="42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35">
      <pivotArea type="data" outline="0" fieldPosition="0">
        <references count="6">
          <reference field="4294967294" count="1" selected="0">
            <x v="1"/>
          </reference>
          <reference field="0" count="1" selected="0">
            <x v="43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36">
      <pivotArea type="data" outline="0" fieldPosition="0">
        <references count="6">
          <reference field="4294967294" count="1" selected="0">
            <x v="1"/>
          </reference>
          <reference field="0" count="1" selected="0">
            <x v="44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37">
      <pivotArea type="data" outline="0" fieldPosition="0">
        <references count="6">
          <reference field="4294967294" count="1" selected="0">
            <x v="1"/>
          </reference>
          <reference field="0" count="1" selected="0">
            <x v="45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38">
      <pivotArea type="data" outline="0" fieldPosition="0">
        <references count="6">
          <reference field="4294967294" count="1" selected="0">
            <x v="1"/>
          </reference>
          <reference field="0" count="1" selected="0">
            <x v="46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39">
      <pivotArea type="data" outline="0" fieldPosition="0">
        <references count="6">
          <reference field="4294967294" count="1" selected="0">
            <x v="1"/>
          </reference>
          <reference field="0" count="1" selected="0">
            <x v="4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40">
      <pivotArea type="data" outline="0" fieldPosition="0">
        <references count="6">
          <reference field="4294967294" count="1" selected="0">
            <x v="1"/>
          </reference>
          <reference field="0" count="1" selected="0">
            <x v="48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3" format="441">
      <pivotArea type="data" outline="0" fieldPosition="0">
        <references count="6">
          <reference field="4294967294" count="1" selected="0">
            <x v="1"/>
          </reference>
          <reference field="0" count="1" selected="0">
            <x v="49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42">
      <pivotArea type="data" outline="0" fieldPosition="0">
        <references count="6">
          <reference field="4294967294" count="1" selected="0">
            <x v="1"/>
          </reference>
          <reference field="0" count="1" selected="0">
            <x v="50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43">
      <pivotArea type="data" outline="0" fieldPosition="0">
        <references count="6">
          <reference field="4294967294" count="1" selected="0">
            <x v="1"/>
          </reference>
          <reference field="0" count="1" selected="0">
            <x v="5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44">
      <pivotArea type="data" outline="0" fieldPosition="0">
        <references count="6">
          <reference field="4294967294" count="1" selected="0">
            <x v="1"/>
          </reference>
          <reference field="0" count="1" selected="0">
            <x v="5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45">
      <pivotArea type="data" outline="0" fieldPosition="0">
        <references count="6">
          <reference field="4294967294" count="1" selected="0">
            <x v="1"/>
          </reference>
          <reference field="0" count="1" selected="0">
            <x v="53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46">
      <pivotArea type="data" outline="0" fieldPosition="0">
        <references count="6">
          <reference field="4294967294" count="1" selected="0">
            <x v="1"/>
          </reference>
          <reference field="0" count="1" selected="0">
            <x v="5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47">
      <pivotArea type="data" outline="0" fieldPosition="0">
        <references count="6">
          <reference field="4294967294" count="1" selected="0">
            <x v="1"/>
          </reference>
          <reference field="0" count="1" selected="0">
            <x v="5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48">
      <pivotArea type="data" outline="0" fieldPosition="0">
        <references count="6">
          <reference field="4294967294" count="1" selected="0">
            <x v="1"/>
          </reference>
          <reference field="0" count="1" selected="0">
            <x v="56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49">
      <pivotArea type="data" outline="0" fieldPosition="0">
        <references count="6">
          <reference field="4294967294" count="1" selected="0">
            <x v="1"/>
          </reference>
          <reference field="0" count="1" selected="0">
            <x v="57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50">
      <pivotArea type="data" outline="0" fieldPosition="0">
        <references count="6">
          <reference field="4294967294" count="1" selected="0">
            <x v="1"/>
          </reference>
          <reference field="0" count="1" selected="0">
            <x v="58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51">
      <pivotArea type="data" outline="0" fieldPosition="0">
        <references count="6">
          <reference field="4294967294" count="1" selected="0">
            <x v="1"/>
          </reference>
          <reference field="0" count="1" selected="0">
            <x v="59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52">
      <pivotArea type="data" outline="0" fieldPosition="0">
        <references count="6">
          <reference field="4294967294" count="1" selected="0">
            <x v="1"/>
          </reference>
          <reference field="0" count="1" selected="0">
            <x v="60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53">
      <pivotArea type="data" outline="0" fieldPosition="0">
        <references count="6">
          <reference field="4294967294" count="1" selected="0">
            <x v="1"/>
          </reference>
          <reference field="0" count="1" selected="0">
            <x v="61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54">
      <pivotArea type="data" outline="0" fieldPosition="0">
        <references count="6">
          <reference field="4294967294" count="1" selected="0">
            <x v="1"/>
          </reference>
          <reference field="0" count="1" selected="0">
            <x v="62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55">
      <pivotArea type="data" outline="0" fieldPosition="0">
        <references count="6">
          <reference field="4294967294" count="1" selected="0">
            <x v="1"/>
          </reference>
          <reference field="0" count="1" selected="0">
            <x v="63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56">
      <pivotArea type="data" outline="0" fieldPosition="0">
        <references count="6">
          <reference field="4294967294" count="1" selected="0">
            <x v="1"/>
          </reference>
          <reference field="0" count="1" selected="0">
            <x v="6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57">
      <pivotArea type="data" outline="0" fieldPosition="0">
        <references count="6">
          <reference field="4294967294" count="1" selected="0">
            <x v="1"/>
          </reference>
          <reference field="0" count="1" selected="0">
            <x v="6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58">
      <pivotArea type="data" outline="0" fieldPosition="0">
        <references count="6">
          <reference field="4294967294" count="1" selected="0">
            <x v="1"/>
          </reference>
          <reference field="0" count="1" selected="0">
            <x v="66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59">
      <pivotArea type="data" outline="0" fieldPosition="0">
        <references count="6">
          <reference field="4294967294" count="1" selected="0">
            <x v="1"/>
          </reference>
          <reference field="0" count="1" selected="0">
            <x v="67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60">
      <pivotArea type="data" outline="0" fieldPosition="0">
        <references count="6">
          <reference field="4294967294" count="1" selected="0">
            <x v="1"/>
          </reference>
          <reference field="0" count="1" selected="0">
            <x v="68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61">
      <pivotArea type="data" outline="0" fieldPosition="0">
        <references count="6">
          <reference field="4294967294" count="1" selected="0">
            <x v="1"/>
          </reference>
          <reference field="0" count="1" selected="0">
            <x v="69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62">
      <pivotArea type="data" outline="0" fieldPosition="0">
        <references count="6">
          <reference field="4294967294" count="1" selected="0">
            <x v="1"/>
          </reference>
          <reference field="0" count="1" selected="0">
            <x v="70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63">
      <pivotArea type="data" outline="0" fieldPosition="0">
        <references count="6">
          <reference field="4294967294" count="1" selected="0">
            <x v="1"/>
          </reference>
          <reference field="0" count="1" selected="0">
            <x v="71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64">
      <pivotArea type="data" outline="0" fieldPosition="0">
        <references count="6">
          <reference field="4294967294" count="1" selected="0">
            <x v="1"/>
          </reference>
          <reference field="0" count="1" selected="0">
            <x v="72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65">
      <pivotArea type="data" outline="0" fieldPosition="0">
        <references count="6">
          <reference field="4294967294" count="1" selected="0">
            <x v="1"/>
          </reference>
          <reference field="0" count="1" selected="0">
            <x v="73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66">
      <pivotArea type="data" outline="0" fieldPosition="0">
        <references count="6">
          <reference field="4294967294" count="1" selected="0">
            <x v="1"/>
          </reference>
          <reference field="0" count="1" selected="0">
            <x v="7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67">
      <pivotArea type="data" outline="0" fieldPosition="0">
        <references count="6">
          <reference field="4294967294" count="1" selected="0">
            <x v="1"/>
          </reference>
          <reference field="0" count="1" selected="0">
            <x v="75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68">
      <pivotArea type="data" outline="0" fieldPosition="0">
        <references count="6">
          <reference field="4294967294" count="1" selected="0">
            <x v="1"/>
          </reference>
          <reference field="0" count="1" selected="0">
            <x v="76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4"/>
          </reference>
          <reference field="13" count="1" selected="0">
            <x v="0"/>
          </reference>
        </references>
      </pivotArea>
    </chartFormat>
    <chartFormat chart="3" format="469">
      <pivotArea type="data" outline="0" fieldPosition="0">
        <references count="6">
          <reference field="4294967294" count="1" selected="0">
            <x v="1"/>
          </reference>
          <reference field="0" count="1" selected="0">
            <x v="7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70">
      <pivotArea type="data" outline="0" fieldPosition="0">
        <references count="6">
          <reference field="4294967294" count="1" selected="0">
            <x v="1"/>
          </reference>
          <reference field="0" count="1" selected="0">
            <x v="78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71">
      <pivotArea type="data" outline="0" fieldPosition="0">
        <references count="6">
          <reference field="4294967294" count="1" selected="0">
            <x v="1"/>
          </reference>
          <reference field="0" count="1" selected="0">
            <x v="79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72">
      <pivotArea type="data" outline="0" fieldPosition="0">
        <references count="6">
          <reference field="4294967294" count="1" selected="0">
            <x v="1"/>
          </reference>
          <reference field="0" count="1" selected="0">
            <x v="80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73">
      <pivotArea type="data" outline="0" fieldPosition="0">
        <references count="6">
          <reference field="4294967294" count="1" selected="0">
            <x v="1"/>
          </reference>
          <reference field="0" count="1" selected="0">
            <x v="8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4"/>
          </reference>
          <reference field="13" count="1" selected="0">
            <x v="0"/>
          </reference>
        </references>
      </pivotArea>
    </chartFormat>
    <chartFormat chart="3" format="474">
      <pivotArea type="data" outline="0" fieldPosition="0">
        <references count="6">
          <reference field="4294967294" count="1" selected="0">
            <x v="1"/>
          </reference>
          <reference field="0" count="1" selected="0">
            <x v="82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75">
      <pivotArea type="data" outline="0" fieldPosition="0">
        <references count="6">
          <reference field="4294967294" count="1" selected="0">
            <x v="1"/>
          </reference>
          <reference field="0" count="1" selected="0">
            <x v="83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76">
      <pivotArea type="data" outline="0" fieldPosition="0">
        <references count="6">
          <reference field="4294967294" count="1" selected="0">
            <x v="1"/>
          </reference>
          <reference field="0" count="1" selected="0">
            <x v="84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77">
      <pivotArea type="data" outline="0" fieldPosition="0">
        <references count="6">
          <reference field="4294967294" count="1" selected="0">
            <x v="1"/>
          </reference>
          <reference field="0" count="1" selected="0">
            <x v="85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78">
      <pivotArea type="data" outline="0" fieldPosition="0">
        <references count="6">
          <reference field="4294967294" count="1" selected="0">
            <x v="1"/>
          </reference>
          <reference field="0" count="1" selected="0">
            <x v="86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79">
      <pivotArea type="data" outline="0" fieldPosition="0">
        <references count="6">
          <reference field="4294967294" count="1" selected="0">
            <x v="1"/>
          </reference>
          <reference field="0" count="1" selected="0">
            <x v="87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80">
      <pivotArea type="data" outline="0" fieldPosition="0">
        <references count="6">
          <reference field="4294967294" count="1" selected="0">
            <x v="1"/>
          </reference>
          <reference field="0" count="1" selected="0">
            <x v="88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81">
      <pivotArea type="data" outline="0" fieldPosition="0">
        <references count="6">
          <reference field="4294967294" count="1" selected="0">
            <x v="1"/>
          </reference>
          <reference field="0" count="1" selected="0">
            <x v="89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82">
      <pivotArea type="data" outline="0" fieldPosition="0">
        <references count="6">
          <reference field="4294967294" count="1" selected="0">
            <x v="1"/>
          </reference>
          <reference field="0" count="1" selected="0">
            <x v="90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83">
      <pivotArea type="data" outline="0" fieldPosition="0">
        <references count="6">
          <reference field="4294967294" count="1" selected="0">
            <x v="1"/>
          </reference>
          <reference field="0" count="1" selected="0">
            <x v="91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84">
      <pivotArea type="data" outline="0" fieldPosition="0">
        <references count="6">
          <reference field="4294967294" count="1" selected="0">
            <x v="1"/>
          </reference>
          <reference field="0" count="1" selected="0">
            <x v="92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85">
      <pivotArea type="data" outline="0" fieldPosition="0">
        <references count="6">
          <reference field="4294967294" count="1" selected="0">
            <x v="1"/>
          </reference>
          <reference field="0" count="1" selected="0">
            <x v="93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86">
      <pivotArea type="data" outline="0" fieldPosition="0">
        <references count="6">
          <reference field="4294967294" count="1" selected="0">
            <x v="1"/>
          </reference>
          <reference field="0" count="1" selected="0">
            <x v="94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87">
      <pivotArea type="data" outline="0" fieldPosition="0">
        <references count="6">
          <reference field="4294967294" count="1" selected="0">
            <x v="1"/>
          </reference>
          <reference field="0" count="1" selected="0">
            <x v="9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88">
      <pivotArea type="data" outline="0" fieldPosition="0">
        <references count="6">
          <reference field="4294967294" count="1" selected="0">
            <x v="1"/>
          </reference>
          <reference field="0" count="1" selected="0">
            <x v="96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89">
      <pivotArea type="data" outline="0" fieldPosition="0">
        <references count="6">
          <reference field="4294967294" count="1" selected="0">
            <x v="1"/>
          </reference>
          <reference field="0" count="1" selected="0">
            <x v="9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490">
      <pivotArea type="data" outline="0" fieldPosition="0">
        <references count="6">
          <reference field="4294967294" count="1" selected="0">
            <x v="1"/>
          </reference>
          <reference field="0" count="1" selected="0">
            <x v="98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91">
      <pivotArea type="data" outline="0" fieldPosition="0">
        <references count="6">
          <reference field="4294967294" count="1" selected="0">
            <x v="1"/>
          </reference>
          <reference field="0" count="1" selected="0">
            <x v="99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92">
      <pivotArea type="data" outline="0" fieldPosition="0">
        <references count="6">
          <reference field="4294967294" count="1" selected="0">
            <x v="1"/>
          </reference>
          <reference field="0" count="1" selected="0">
            <x v="10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93">
      <pivotArea type="data" outline="0" fieldPosition="0">
        <references count="6">
          <reference field="4294967294" count="1" selected="0">
            <x v="1"/>
          </reference>
          <reference field="0" count="1" selected="0">
            <x v="101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94">
      <pivotArea type="data" outline="0" fieldPosition="0">
        <references count="6">
          <reference field="4294967294" count="1" selected="0">
            <x v="1"/>
          </reference>
          <reference field="0" count="1" selected="0">
            <x v="102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95">
      <pivotArea type="data" outline="0" fieldPosition="0">
        <references count="6">
          <reference field="4294967294" count="1" selected="0">
            <x v="1"/>
          </reference>
          <reference field="0" count="1" selected="0">
            <x v="10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496">
      <pivotArea type="data" outline="0" fieldPosition="0">
        <references count="6">
          <reference field="4294967294" count="1" selected="0">
            <x v="1"/>
          </reference>
          <reference field="0" count="1" selected="0">
            <x v="104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97">
      <pivotArea type="data" outline="0" fieldPosition="0">
        <references count="6">
          <reference field="4294967294" count="1" selected="0">
            <x v="1"/>
          </reference>
          <reference field="0" count="1" selected="0">
            <x v="105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98">
      <pivotArea type="data" outline="0" fieldPosition="0">
        <references count="6">
          <reference field="4294967294" count="1" selected="0">
            <x v="1"/>
          </reference>
          <reference field="0" count="1" selected="0">
            <x v="106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499">
      <pivotArea type="data" outline="0" fieldPosition="0">
        <references count="6">
          <reference field="4294967294" count="1" selected="0">
            <x v="1"/>
          </reference>
          <reference field="0" count="1" selected="0">
            <x v="107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00">
      <pivotArea type="data" outline="0" fieldPosition="0">
        <references count="6">
          <reference field="4294967294" count="1" selected="0">
            <x v="1"/>
          </reference>
          <reference field="0" count="1" selected="0">
            <x v="10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501">
      <pivotArea type="data" outline="0" fieldPosition="0">
        <references count="6">
          <reference field="4294967294" count="1" selected="0">
            <x v="1"/>
          </reference>
          <reference field="0" count="1" selected="0">
            <x v="109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02">
      <pivotArea type="data" outline="0" fieldPosition="0">
        <references count="6">
          <reference field="4294967294" count="1" selected="0">
            <x v="1"/>
          </reference>
          <reference field="0" count="1" selected="0">
            <x v="110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503">
      <pivotArea type="data" outline="0" fieldPosition="0">
        <references count="6">
          <reference field="4294967294" count="1" selected="0">
            <x v="1"/>
          </reference>
          <reference field="0" count="1" selected="0">
            <x v="111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04">
      <pivotArea type="data" outline="0" fieldPosition="0">
        <references count="6">
          <reference field="4294967294" count="1" selected="0">
            <x v="1"/>
          </reference>
          <reference field="0" count="1" selected="0">
            <x v="112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05">
      <pivotArea type="data" outline="0" fieldPosition="0">
        <references count="6">
          <reference field="4294967294" count="1" selected="0">
            <x v="1"/>
          </reference>
          <reference field="0" count="1" selected="0">
            <x v="113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506">
      <pivotArea type="data" outline="0" fieldPosition="0">
        <references count="6">
          <reference field="4294967294" count="1" selected="0">
            <x v="1"/>
          </reference>
          <reference field="0" count="1" selected="0">
            <x v="114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507">
      <pivotArea type="data" outline="0" fieldPosition="0">
        <references count="6">
          <reference field="4294967294" count="1" selected="0">
            <x v="1"/>
          </reference>
          <reference field="0" count="1" selected="0">
            <x v="115"/>
          </reference>
          <reference field="2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508">
      <pivotArea type="data" outline="0" fieldPosition="0">
        <references count="6">
          <reference field="4294967294" count="1" selected="0">
            <x v="1"/>
          </reference>
          <reference field="0" count="1" selected="0">
            <x v="11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509">
      <pivotArea type="data" outline="0" fieldPosition="0">
        <references count="6">
          <reference field="4294967294" count="1" selected="0">
            <x v="1"/>
          </reference>
          <reference field="0" count="1" selected="0">
            <x v="117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510">
      <pivotArea type="data" outline="0" fieldPosition="0">
        <references count="6">
          <reference field="4294967294" count="1" selected="0">
            <x v="1"/>
          </reference>
          <reference field="0" count="1" selected="0">
            <x v="11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511">
      <pivotArea type="data" outline="0" fieldPosition="0">
        <references count="6">
          <reference field="4294967294" count="1" selected="0">
            <x v="1"/>
          </reference>
          <reference field="0" count="1" selected="0">
            <x v="119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12">
      <pivotArea type="data" outline="0" fieldPosition="0">
        <references count="6">
          <reference field="4294967294" count="1" selected="0">
            <x v="1"/>
          </reference>
          <reference field="0" count="1" selected="0">
            <x v="120"/>
          </reference>
          <reference field="2" count="1" selected="0">
            <x v="4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13">
      <pivotArea type="data" outline="0" fieldPosition="0">
        <references count="6">
          <reference field="4294967294" count="1" selected="0">
            <x v="1"/>
          </reference>
          <reference field="0" count="1" selected="0">
            <x v="121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514">
      <pivotArea type="data" outline="0" fieldPosition="0">
        <references count="6">
          <reference field="4294967294" count="1" selected="0">
            <x v="1"/>
          </reference>
          <reference field="0" count="1" selected="0">
            <x v="122"/>
          </reference>
          <reference field="2" count="1" selected="0">
            <x v="2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515">
      <pivotArea type="data" outline="0" fieldPosition="0">
        <references count="6">
          <reference field="4294967294" count="1" selected="0">
            <x v="1"/>
          </reference>
          <reference field="0" count="1" selected="0">
            <x v="123"/>
          </reference>
          <reference field="2" count="1" selected="0">
            <x v="3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16">
      <pivotArea type="data" outline="0" fieldPosition="0">
        <references count="6">
          <reference field="4294967294" count="1" selected="0">
            <x v="1"/>
          </reference>
          <reference field="0" count="1" selected="0">
            <x v="124"/>
          </reference>
          <reference field="2" count="1" selected="0">
            <x v="4"/>
          </reference>
          <reference field="5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3" format="517">
      <pivotArea type="data" outline="0" fieldPosition="0">
        <references count="6">
          <reference field="4294967294" count="1" selected="0">
            <x v="1"/>
          </reference>
          <reference field="0" count="1" selected="0">
            <x v="125"/>
          </reference>
          <reference field="2" count="1" selected="0">
            <x v="0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18">
      <pivotArea type="data" outline="0" fieldPosition="0">
        <references count="6">
          <reference field="4294967294" count="1" selected="0">
            <x v="1"/>
          </reference>
          <reference field="0" count="1" selected="0">
            <x v="126"/>
          </reference>
          <reference field="2" count="1" selected="0">
            <x v="2"/>
          </reference>
          <reference field="5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19">
      <pivotArea type="data" outline="0" fieldPosition="0">
        <references count="6">
          <reference field="4294967294" count="1" selected="0">
            <x v="1"/>
          </reference>
          <reference field="0" count="1" selected="0">
            <x v="127"/>
          </reference>
          <reference field="2" count="1" selected="0">
            <x v="1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20">
      <pivotArea type="data" outline="0" fieldPosition="0">
        <references count="6">
          <reference field="4294967294" count="1" selected="0">
            <x v="1"/>
          </reference>
          <reference field="0" count="1" selected="0">
            <x v="128"/>
          </reference>
          <reference field="2" count="1" selected="0">
            <x v="3"/>
          </reference>
          <reference field="5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521">
      <pivotArea type="data" outline="0" fieldPosition="0">
        <references count="6">
          <reference field="4294967294" count="1" selected="0">
            <x v="1"/>
          </reference>
          <reference field="0" count="1" selected="0">
            <x v="129"/>
          </reference>
          <reference field="2" count="1" selected="0">
            <x v="1"/>
          </reference>
          <reference field="5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9E6D6-825C-459B-AE30-349BBF7A03D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M133" firstHeaderRow="1" firstDataRow="2" firstDataCol="1"/>
  <pivotFields count="16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>
      <items count="64">
        <item x="9"/>
        <item x="62"/>
        <item x="23"/>
        <item x="0"/>
        <item x="55"/>
        <item x="61"/>
        <item x="60"/>
        <item x="50"/>
        <item x="58"/>
        <item x="56"/>
        <item x="47"/>
        <item x="59"/>
        <item x="44"/>
        <item x="19"/>
        <item x="20"/>
        <item x="2"/>
        <item x="39"/>
        <item x="48"/>
        <item x="53"/>
        <item x="49"/>
        <item x="27"/>
        <item x="31"/>
        <item x="32"/>
        <item x="54"/>
        <item x="57"/>
        <item x="13"/>
        <item x="43"/>
        <item x="26"/>
        <item x="5"/>
        <item x="34"/>
        <item x="45"/>
        <item x="51"/>
        <item x="40"/>
        <item x="41"/>
        <item x="8"/>
        <item x="3"/>
        <item x="15"/>
        <item x="33"/>
        <item x="42"/>
        <item x="36"/>
        <item x="10"/>
        <item x="24"/>
        <item x="52"/>
        <item x="46"/>
        <item x="37"/>
        <item x="28"/>
        <item x="29"/>
        <item x="35"/>
        <item x="30"/>
        <item x="38"/>
        <item x="4"/>
        <item x="7"/>
        <item x="22"/>
        <item x="25"/>
        <item x="11"/>
        <item x="17"/>
        <item x="18"/>
        <item x="21"/>
        <item x="14"/>
        <item x="16"/>
        <item x="12"/>
        <item x="6"/>
        <item x="1"/>
        <item t="default"/>
      </items>
    </pivotField>
    <pivotField dataField="1" showAll="0">
      <items count="131">
        <item x="116"/>
        <item x="122"/>
        <item x="115"/>
        <item x="120"/>
        <item x="117"/>
        <item x="74"/>
        <item x="105"/>
        <item x="75"/>
        <item x="119"/>
        <item x="70"/>
        <item x="121"/>
        <item x="73"/>
        <item x="104"/>
        <item x="106"/>
        <item x="71"/>
        <item x="107"/>
        <item x="108"/>
        <item x="72"/>
        <item x="76"/>
        <item x="65"/>
        <item x="69"/>
        <item x="114"/>
        <item x="110"/>
        <item x="61"/>
        <item x="63"/>
        <item x="66"/>
        <item x="60"/>
        <item x="64"/>
        <item x="62"/>
        <item x="12"/>
        <item x="11"/>
        <item x="55"/>
        <item x="59"/>
        <item x="68"/>
        <item x="54"/>
        <item x="13"/>
        <item x="67"/>
        <item x="103"/>
        <item x="6"/>
        <item x="56"/>
        <item x="1"/>
        <item x="109"/>
        <item x="4"/>
        <item x="15"/>
        <item x="57"/>
        <item x="5"/>
        <item x="3"/>
        <item x="53"/>
        <item x="58"/>
        <item x="50"/>
        <item x="51"/>
        <item x="14"/>
        <item x="49"/>
        <item x="17"/>
        <item x="91"/>
        <item x="7"/>
        <item x="52"/>
        <item x="97"/>
        <item x="16"/>
        <item x="111"/>
        <item x="2"/>
        <item x="10"/>
        <item x="8"/>
        <item x="90"/>
        <item x="0"/>
        <item x="79"/>
        <item x="9"/>
        <item x="77"/>
        <item x="22"/>
        <item x="102"/>
        <item x="18"/>
        <item x="39"/>
        <item x="40"/>
        <item x="118"/>
        <item x="37"/>
        <item x="38"/>
        <item x="78"/>
        <item x="32"/>
        <item x="19"/>
        <item x="21"/>
        <item x="33"/>
        <item x="92"/>
        <item x="41"/>
        <item x="36"/>
        <item x="27"/>
        <item x="89"/>
        <item x="28"/>
        <item x="34"/>
        <item x="23"/>
        <item x="31"/>
        <item x="42"/>
        <item x="35"/>
        <item x="43"/>
        <item x="20"/>
        <item x="30"/>
        <item x="25"/>
        <item x="29"/>
        <item x="48"/>
        <item x="123"/>
        <item x="88"/>
        <item x="112"/>
        <item x="26"/>
        <item x="24"/>
        <item x="80"/>
        <item x="44"/>
        <item x="96"/>
        <item x="124"/>
        <item x="81"/>
        <item x="45"/>
        <item x="47"/>
        <item x="101"/>
        <item x="86"/>
        <item x="100"/>
        <item x="46"/>
        <item x="87"/>
        <item x="98"/>
        <item x="93"/>
        <item x="99"/>
        <item x="95"/>
        <item x="113"/>
        <item x="85"/>
        <item x="84"/>
        <item x="83"/>
        <item x="82"/>
        <item x="94"/>
        <item x="128"/>
        <item x="127"/>
        <item x="125"/>
        <item x="126"/>
        <item x="129"/>
        <item t="default"/>
      </items>
    </pivotField>
  </pivotFields>
  <rowFields count="1">
    <field x="0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verage " fld="15" baseField="0" baseItem="0"/>
  </dataFields>
  <formats count="12">
    <format dxfId="547">
      <pivotArea type="all" dataOnly="0" outline="0" fieldPosition="0"/>
    </format>
    <format dxfId="546">
      <pivotArea outline="0" collapsedLevelsAreSubtotals="1" fieldPosition="0"/>
    </format>
    <format dxfId="545">
      <pivotArea type="origin" dataOnly="0" labelOnly="1" outline="0" fieldPosition="0"/>
    </format>
    <format dxfId="544">
      <pivotArea field="1" type="button" dataOnly="0" labelOnly="1" outline="0" axis="axisCol" fieldPosition="0"/>
    </format>
    <format dxfId="543">
      <pivotArea type="topRight" dataOnly="0" labelOnly="1" outline="0" fieldPosition="0"/>
    </format>
    <format dxfId="542">
      <pivotArea field="0" type="button" dataOnly="0" labelOnly="1" outline="0" axis="axisRow" fieldPosition="0"/>
    </format>
    <format dxfId="54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4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39">
      <pivotArea dataOnly="0" labelOnly="1" fieldPosition="0">
        <references count="1">
          <reference field="0" count="3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538">
      <pivotArea dataOnly="0" labelOnly="1" grandRow="1" outline="0" fieldPosition="0"/>
    </format>
    <format dxfId="537">
      <pivotArea dataOnly="0" labelOnly="1" fieldPosition="0">
        <references count="1">
          <reference field="1" count="0"/>
        </references>
      </pivotArea>
    </format>
    <format dxfId="536">
      <pivotArea dataOnly="0" labelOnly="1" grandCol="1" outline="0" fieldPosition="0"/>
    </format>
  </formats>
  <chartFormats count="26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0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0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0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0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0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0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0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0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0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0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0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0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0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0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0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0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0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0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0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0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0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0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0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0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0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0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0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0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0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0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0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0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0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0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0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0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0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0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0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0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0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0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0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0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0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0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0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0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0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0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0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0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0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0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0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0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0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0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0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0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0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0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0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0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0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0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0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0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0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0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0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0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0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0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0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0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0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0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0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0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0"/>
          </reference>
        </references>
      </pivotArea>
    </chartFormat>
    <chartFormat chart="0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0"/>
          </reference>
        </references>
      </pivotArea>
    </chartFormat>
    <chartFormat chart="0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0"/>
          </reference>
        </references>
      </pivotArea>
    </chartFormat>
    <chartFormat chart="0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0"/>
          </reference>
        </references>
      </pivotArea>
    </chartFormat>
    <chartFormat chart="0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0"/>
          </reference>
        </references>
      </pivotArea>
    </chartFormat>
    <chartFormat chart="0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0"/>
          </reference>
        </references>
      </pivotArea>
    </chartFormat>
    <chartFormat chart="0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0"/>
          </reference>
        </references>
      </pivotArea>
    </chartFormat>
    <chartFormat chart="0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0"/>
          </reference>
        </references>
      </pivotArea>
    </chartFormat>
    <chartFormat chart="0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0"/>
          </reference>
        </references>
      </pivotArea>
    </chartFormat>
    <chartFormat chart="0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0"/>
          </reference>
        </references>
      </pivotArea>
    </chartFormat>
    <chartFormat chart="0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0"/>
          </reference>
        </references>
      </pivotArea>
    </chartFormat>
    <chartFormat chart="0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0"/>
          </reference>
        </references>
      </pivotArea>
    </chartFormat>
    <chartFormat chart="0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0"/>
          </reference>
        </references>
      </pivotArea>
    </chartFormat>
    <chartFormat chart="0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0"/>
          </reference>
        </references>
      </pivotArea>
    </chartFormat>
    <chartFormat chart="0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0"/>
          </reference>
        </references>
      </pivotArea>
    </chartFormat>
    <chartFormat chart="0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0"/>
          </reference>
        </references>
      </pivotArea>
    </chartFormat>
    <chartFormat chart="0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0"/>
          </reference>
        </references>
      </pivotArea>
    </chartFormat>
    <chartFormat chart="0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0"/>
          </reference>
        </references>
      </pivotArea>
    </chartFormat>
    <chartFormat chart="0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0"/>
          </reference>
        </references>
      </pivotArea>
    </chartFormat>
    <chartFormat chart="0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0"/>
          </reference>
        </references>
      </pivotArea>
    </chartFormat>
    <chartFormat chart="0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0"/>
          </reference>
        </references>
      </pivotArea>
    </chartFormat>
    <chartFormat chart="0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0"/>
          </reference>
        </references>
      </pivotArea>
    </chartFormat>
    <chartFormat chart="0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0"/>
          </reference>
        </references>
      </pivotArea>
    </chartFormat>
    <chartFormat chart="0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0"/>
          </reference>
        </references>
      </pivotArea>
    </chartFormat>
    <chartFormat chart="0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0"/>
          </reference>
        </references>
      </pivotArea>
    </chartFormat>
    <chartFormat chart="0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0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0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0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0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0" format="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0" format="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"/>
          </reference>
        </references>
      </pivotArea>
    </chartFormat>
    <chartFormat chart="0" format="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"/>
          </reference>
        </references>
      </pivotArea>
    </chartFormat>
    <chartFormat chart="0" format="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"/>
          </reference>
        </references>
      </pivotArea>
    </chartFormat>
    <chartFormat chart="0" format="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"/>
          </reference>
        </references>
      </pivotArea>
    </chartFormat>
    <chartFormat chart="0" format="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"/>
          </reference>
        </references>
      </pivotArea>
    </chartFormat>
    <chartFormat chart="0" format="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"/>
          </reference>
        </references>
      </pivotArea>
    </chartFormat>
    <chartFormat chart="0" format="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"/>
          </reference>
        </references>
      </pivotArea>
    </chartFormat>
    <chartFormat chart="0" format="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"/>
          </reference>
        </references>
      </pivotArea>
    </chartFormat>
    <chartFormat chart="0" format="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"/>
          </reference>
        </references>
      </pivotArea>
    </chartFormat>
    <chartFormat chart="0" format="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"/>
          </reference>
        </references>
      </pivotArea>
    </chartFormat>
    <chartFormat chart="0" format="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"/>
          </reference>
        </references>
      </pivotArea>
    </chartFormat>
    <chartFormat chart="0" format="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"/>
          </reference>
        </references>
      </pivotArea>
    </chartFormat>
    <chartFormat chart="0" format="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"/>
          </reference>
        </references>
      </pivotArea>
    </chartFormat>
    <chartFormat chart="0" format="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"/>
          </reference>
        </references>
      </pivotArea>
    </chartFormat>
    <chartFormat chart="0" format="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"/>
          </reference>
        </references>
      </pivotArea>
    </chartFormat>
    <chartFormat chart="0" format="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"/>
          </reference>
        </references>
      </pivotArea>
    </chartFormat>
    <chartFormat chart="0" format="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"/>
          </reference>
        </references>
      </pivotArea>
    </chartFormat>
    <chartFormat chart="0" format="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"/>
          </reference>
        </references>
      </pivotArea>
    </chartFormat>
    <chartFormat chart="0" format="174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"/>
          </reference>
        </references>
      </pivotArea>
    </chartFormat>
    <chartFormat chart="0" format="175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"/>
          </reference>
        </references>
      </pivotArea>
    </chartFormat>
    <chartFormat chart="0" format="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"/>
          </reference>
        </references>
      </pivotArea>
    </chartFormat>
    <chartFormat chart="0" format="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"/>
          </reference>
        </references>
      </pivotArea>
    </chartFormat>
    <chartFormat chart="0" format="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"/>
          </reference>
        </references>
      </pivotArea>
    </chartFormat>
    <chartFormat chart="0" format="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"/>
          </reference>
        </references>
      </pivotArea>
    </chartFormat>
    <chartFormat chart="0" format="1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"/>
          </reference>
        </references>
      </pivotArea>
    </chartFormat>
    <chartFormat chart="0" format="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"/>
          </reference>
        </references>
      </pivotArea>
    </chartFormat>
    <chartFormat chart="0" format="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"/>
          </reference>
        </references>
      </pivotArea>
    </chartFormat>
    <chartFormat chart="0" format="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"/>
          </reference>
        </references>
      </pivotArea>
    </chartFormat>
    <chartFormat chart="0" format="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"/>
          </reference>
        </references>
      </pivotArea>
    </chartFormat>
    <chartFormat chart="0" format="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"/>
          </reference>
        </references>
      </pivotArea>
    </chartFormat>
    <chartFormat chart="0" format="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"/>
          </reference>
        </references>
      </pivotArea>
    </chartFormat>
    <chartFormat chart="0" format="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"/>
          </reference>
        </references>
      </pivotArea>
    </chartFormat>
    <chartFormat chart="0" format="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"/>
          </reference>
        </references>
      </pivotArea>
    </chartFormat>
    <chartFormat chart="0" format="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"/>
          </reference>
        </references>
      </pivotArea>
    </chartFormat>
    <chartFormat chart="0" format="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"/>
          </reference>
        </references>
      </pivotArea>
    </chartFormat>
    <chartFormat chart="0" format="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"/>
          </reference>
        </references>
      </pivotArea>
    </chartFormat>
    <chartFormat chart="0" format="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"/>
          </reference>
        </references>
      </pivotArea>
    </chartFormat>
    <chartFormat chart="0" format="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"/>
          </reference>
        </references>
      </pivotArea>
    </chartFormat>
    <chartFormat chart="0" format="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"/>
          </reference>
        </references>
      </pivotArea>
    </chartFormat>
    <chartFormat chart="0" format="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"/>
          </reference>
        </references>
      </pivotArea>
    </chartFormat>
    <chartFormat chart="0" format="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"/>
          </reference>
        </references>
      </pivotArea>
    </chartFormat>
    <chartFormat chart="0" format="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"/>
          </reference>
        </references>
      </pivotArea>
    </chartFormat>
    <chartFormat chart="0" format="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"/>
          </reference>
        </references>
      </pivotArea>
    </chartFormat>
    <chartFormat chart="0" format="199">
      <pivotArea type="data" outline="0" fieldPosition="0">
        <references count="3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"/>
          </reference>
        </references>
      </pivotArea>
    </chartFormat>
    <chartFormat chart="0" format="200">
      <pivotArea type="data" outline="0" fieldPosition="0">
        <references count="3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"/>
          </reference>
        </references>
      </pivotArea>
    </chartFormat>
    <chartFormat chart="0" format="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"/>
          </reference>
        </references>
      </pivotArea>
    </chartFormat>
    <chartFormat chart="0" format="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"/>
          </reference>
        </references>
      </pivotArea>
    </chartFormat>
    <chartFormat chart="0" format="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"/>
          </reference>
        </references>
      </pivotArea>
    </chartFormat>
    <chartFormat chart="0" format="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"/>
          </reference>
        </references>
      </pivotArea>
    </chartFormat>
    <chartFormat chart="0" format="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"/>
          </reference>
        </references>
      </pivotArea>
    </chartFormat>
    <chartFormat chart="0" format="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"/>
          </reference>
        </references>
      </pivotArea>
    </chartFormat>
    <chartFormat chart="0" format="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"/>
          </reference>
        </references>
      </pivotArea>
    </chartFormat>
    <chartFormat chart="0" format="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"/>
          </reference>
        </references>
      </pivotArea>
    </chartFormat>
    <chartFormat chart="0" format="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"/>
          </reference>
        </references>
      </pivotArea>
    </chartFormat>
    <chartFormat chart="0" format="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"/>
          </reference>
        </references>
      </pivotArea>
    </chartFormat>
    <chartFormat chart="0" format="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"/>
          </reference>
        </references>
      </pivotArea>
    </chartFormat>
    <chartFormat chart="0" format="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"/>
          </reference>
        </references>
      </pivotArea>
    </chartFormat>
    <chartFormat chart="0" format="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"/>
          </reference>
        </references>
      </pivotArea>
    </chartFormat>
    <chartFormat chart="0" format="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"/>
          </reference>
        </references>
      </pivotArea>
    </chartFormat>
    <chartFormat chart="0" format="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"/>
          </reference>
        </references>
      </pivotArea>
    </chartFormat>
    <chartFormat chart="0" format="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"/>
          </reference>
        </references>
      </pivotArea>
    </chartFormat>
    <chartFormat chart="0" format="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"/>
          </reference>
        </references>
      </pivotArea>
    </chartFormat>
    <chartFormat chart="0" format="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"/>
          </reference>
        </references>
      </pivotArea>
    </chartFormat>
    <chartFormat chart="0" format="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"/>
          </reference>
        </references>
      </pivotArea>
    </chartFormat>
    <chartFormat chart="0" format="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"/>
          </reference>
        </references>
      </pivotArea>
    </chartFormat>
    <chartFormat chart="0" format="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"/>
          </reference>
        </references>
      </pivotArea>
    </chartFormat>
    <chartFormat chart="0" format="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"/>
          </reference>
        </references>
      </pivotArea>
    </chartFormat>
    <chartFormat chart="0" format="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"/>
          </reference>
        </references>
      </pivotArea>
    </chartFormat>
    <chartFormat chart="0" format="224">
      <pivotArea type="data" outline="0" fieldPosition="0">
        <references count="3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"/>
          </reference>
        </references>
      </pivotArea>
    </chartFormat>
    <chartFormat chart="0" format="225">
      <pivotArea type="data" outline="0" fieldPosition="0">
        <references count="3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"/>
          </reference>
        </references>
      </pivotArea>
    </chartFormat>
    <chartFormat chart="0" format="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"/>
          </reference>
        </references>
      </pivotArea>
    </chartFormat>
    <chartFormat chart="0" format="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"/>
          </reference>
        </references>
      </pivotArea>
    </chartFormat>
    <chartFormat chart="0" format="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"/>
          </reference>
        </references>
      </pivotArea>
    </chartFormat>
    <chartFormat chart="0" format="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"/>
          </reference>
        </references>
      </pivotArea>
    </chartFormat>
    <chartFormat chart="0" format="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"/>
          </reference>
        </references>
      </pivotArea>
    </chartFormat>
    <chartFormat chart="0" format="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"/>
          </reference>
        </references>
      </pivotArea>
    </chartFormat>
    <chartFormat chart="0" format="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"/>
          </reference>
        </references>
      </pivotArea>
    </chartFormat>
    <chartFormat chart="0" format="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"/>
          </reference>
        </references>
      </pivotArea>
    </chartFormat>
    <chartFormat chart="0" format="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"/>
          </reference>
        </references>
      </pivotArea>
    </chartFormat>
    <chartFormat chart="0" format="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"/>
          </reference>
        </references>
      </pivotArea>
    </chartFormat>
    <chartFormat chart="0" format="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"/>
          </reference>
        </references>
      </pivotArea>
    </chartFormat>
    <chartFormat chart="0" format="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"/>
          </reference>
        </references>
      </pivotArea>
    </chartFormat>
    <chartFormat chart="0" format="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"/>
          </reference>
        </references>
      </pivotArea>
    </chartFormat>
    <chartFormat chart="0" format="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"/>
          </reference>
        </references>
      </pivotArea>
    </chartFormat>
    <chartFormat chart="0" format="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"/>
          </reference>
        </references>
      </pivotArea>
    </chartFormat>
    <chartFormat chart="0" format="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"/>
          </reference>
        </references>
      </pivotArea>
    </chartFormat>
    <chartFormat chart="0" format="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"/>
          </reference>
        </references>
      </pivotArea>
    </chartFormat>
    <chartFormat chart="0" format="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"/>
          </reference>
        </references>
      </pivotArea>
    </chartFormat>
    <chartFormat chart="0" format="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"/>
          </reference>
        </references>
      </pivotArea>
    </chartFormat>
    <chartFormat chart="0" format="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"/>
          </reference>
        </references>
      </pivotArea>
    </chartFormat>
    <chartFormat chart="0" format="24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"/>
          </reference>
        </references>
      </pivotArea>
    </chartFormat>
    <chartFormat chart="0" format="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"/>
          </reference>
        </references>
      </pivotArea>
    </chartFormat>
    <chartFormat chart="0" format="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"/>
          </reference>
        </references>
      </pivotArea>
    </chartFormat>
    <chartFormat chart="0" format="2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"/>
          </reference>
        </references>
      </pivotArea>
    </chartFormat>
    <chartFormat chart="0" format="2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"/>
          </reference>
        </references>
      </pivotArea>
    </chartFormat>
    <chartFormat chart="0" format="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"/>
          </reference>
        </references>
      </pivotArea>
    </chartFormat>
    <chartFormat chart="0" format="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"/>
          </reference>
        </references>
      </pivotArea>
    </chartFormat>
    <chartFormat chart="0" format="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"/>
          </reference>
        </references>
      </pivotArea>
    </chartFormat>
    <chartFormat chart="0" format="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"/>
          </reference>
        </references>
      </pivotArea>
    </chartFormat>
    <chartFormat chart="0" format="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"/>
          </reference>
        </references>
      </pivotArea>
    </chartFormat>
    <chartFormat chart="0" format="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"/>
          </reference>
        </references>
      </pivotArea>
    </chartFormat>
    <chartFormat chart="0" format="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"/>
          </reference>
        </references>
      </pivotArea>
    </chartFormat>
    <chartFormat chart="0" format="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"/>
          </reference>
        </references>
      </pivotArea>
    </chartFormat>
    <chartFormat chart="0" format="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"/>
          </reference>
        </references>
      </pivotArea>
    </chartFormat>
    <chartFormat chart="0" format="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"/>
          </reference>
        </references>
      </pivotArea>
    </chartFormat>
    <chartFormat chart="0" format="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6719-430F-435E-BC55-D2747A0C5127}">
  <dimension ref="A1:P131"/>
  <sheetViews>
    <sheetView topLeftCell="B1" zoomScale="86" zoomScaleNormal="100" workbookViewId="0">
      <selection activeCell="N12" sqref="N12"/>
    </sheetView>
  </sheetViews>
  <sheetFormatPr defaultRowHeight="14.4" x14ac:dyDescent="0.3"/>
  <cols>
    <col min="1" max="1" width="10.44140625" bestFit="1" customWidth="1"/>
    <col min="3" max="3" width="14.33203125" bestFit="1" customWidth="1"/>
    <col min="4" max="4" width="11.77734375" bestFit="1" customWidth="1"/>
    <col min="5" max="5" width="16.33203125" bestFit="1" customWidth="1"/>
    <col min="6" max="6" width="11" bestFit="1" customWidth="1"/>
    <col min="10" max="10" width="15.6640625" bestFit="1" customWidth="1"/>
    <col min="11" max="11" width="16.109375" bestFit="1" customWidth="1"/>
    <col min="12" max="12" width="11.44140625" bestFit="1" customWidth="1"/>
    <col min="13" max="13" width="11.5546875" bestFit="1" customWidth="1"/>
    <col min="14" max="14" width="11.5546875" customWidth="1"/>
    <col min="16" max="16" width="14" bestFit="1" customWidth="1"/>
    <col min="18" max="18" width="14" bestFit="1" customWidth="1"/>
    <col min="19" max="19" width="16" bestFit="1" customWidth="1"/>
    <col min="20" max="21" width="11.77734375" bestFit="1" customWidth="1"/>
    <col min="22" max="22" width="4.77734375" bestFit="1" customWidth="1"/>
    <col min="23" max="29" width="11.77734375" bestFit="1" customWidth="1"/>
    <col min="30" max="30" width="5.77734375" bestFit="1" customWidth="1"/>
    <col min="31" max="36" width="11.77734375" bestFit="1" customWidth="1"/>
    <col min="37" max="37" width="10.77734375" bestFit="1" customWidth="1"/>
    <col min="38" max="41" width="11.77734375" bestFit="1" customWidth="1"/>
    <col min="42" max="42" width="6.77734375" bestFit="1" customWidth="1"/>
    <col min="43" max="43" width="4.77734375" bestFit="1" customWidth="1"/>
    <col min="44" max="76" width="11.77734375" bestFit="1" customWidth="1"/>
    <col min="77" max="77" width="10.77734375" bestFit="1" customWidth="1"/>
    <col min="78" max="78" width="11.77734375" bestFit="1" customWidth="1"/>
    <col min="79" max="79" width="10.77734375" bestFit="1" customWidth="1"/>
    <col min="80" max="81" width="11.77734375" bestFit="1" customWidth="1"/>
    <col min="82" max="82" width="2.77734375" bestFit="1" customWidth="1"/>
    <col min="83" max="83" width="11.77734375" bestFit="1" customWidth="1"/>
    <col min="84" max="84" width="4.77734375" bestFit="1" customWidth="1"/>
    <col min="85" max="90" width="11.77734375" bestFit="1" customWidth="1"/>
    <col min="91" max="91" width="6.77734375" bestFit="1" customWidth="1"/>
    <col min="92" max="98" width="11.77734375" bestFit="1" customWidth="1"/>
    <col min="99" max="99" width="9.77734375" bestFit="1" customWidth="1"/>
    <col min="100" max="103" width="11.77734375" bestFit="1" customWidth="1"/>
    <col min="104" max="104" width="10.77734375" bestFit="1" customWidth="1"/>
    <col min="105" max="108" width="11.77734375" bestFit="1" customWidth="1"/>
    <col min="109" max="109" width="10.77734375" bestFit="1" customWidth="1"/>
    <col min="110" max="112" width="11.77734375" bestFit="1" customWidth="1"/>
    <col min="113" max="113" width="10.77734375" bestFit="1" customWidth="1"/>
    <col min="114" max="114" width="11.77734375" bestFit="1" customWidth="1"/>
    <col min="115" max="115" width="5.77734375" bestFit="1" customWidth="1"/>
    <col min="116" max="116" width="11.77734375" bestFit="1" customWidth="1"/>
    <col min="117" max="117" width="10.77734375" bestFit="1" customWidth="1"/>
    <col min="118" max="124" width="11.77734375" bestFit="1" customWidth="1"/>
    <col min="125" max="125" width="10.77734375" bestFit="1" customWidth="1"/>
    <col min="126" max="133" width="11.77734375" bestFit="1" customWidth="1"/>
    <col min="134" max="134" width="10.77734375" bestFit="1" customWidth="1"/>
    <col min="135" max="135" width="11.77734375" bestFit="1" customWidth="1"/>
    <col min="136" max="136" width="10.77734375" bestFit="1" customWidth="1"/>
    <col min="137" max="144" width="11.77734375" bestFit="1" customWidth="1"/>
    <col min="145" max="145" width="2.77734375" bestFit="1" customWidth="1"/>
    <col min="146" max="149" width="11.77734375" bestFit="1" customWidth="1"/>
    <col min="150" max="150" width="9.6640625" bestFit="1" customWidth="1"/>
    <col min="151" max="151" width="10.33203125" bestFit="1" customWidth="1"/>
  </cols>
  <sheetData>
    <row r="1" spans="1:16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14</v>
      </c>
      <c r="N1" s="8" t="s">
        <v>15</v>
      </c>
      <c r="O1" s="8" t="s">
        <v>12</v>
      </c>
      <c r="P1" s="8" t="s">
        <v>13</v>
      </c>
    </row>
    <row r="2" spans="1:16" x14ac:dyDescent="0.3">
      <c r="A2" s="2" t="s">
        <v>16</v>
      </c>
      <c r="B2" s="2" t="s">
        <v>146</v>
      </c>
      <c r="C2" s="2" t="s">
        <v>149</v>
      </c>
      <c r="D2" s="9">
        <v>0.75</v>
      </c>
      <c r="E2" s="2" t="s">
        <v>153</v>
      </c>
      <c r="F2" s="2" t="s">
        <v>158</v>
      </c>
      <c r="G2" s="2">
        <v>77</v>
      </c>
      <c r="H2" s="2">
        <v>99</v>
      </c>
      <c r="I2" s="2">
        <v>90</v>
      </c>
      <c r="J2" s="2">
        <f>SUM(G2:I2)</f>
        <v>266</v>
      </c>
      <c r="K2" s="2">
        <v>300</v>
      </c>
      <c r="L2" s="2">
        <f>SUM(J2/K2*100)</f>
        <v>88.666666666666671</v>
      </c>
      <c r="M2" s="2" t="str">
        <f>IF(L2&gt;90,"A", IF(L2&gt;80,"B", IF(L2&gt;70,"C", IF(L2&gt;60,"D", IF(L2&gt;40,"F")))))</f>
        <v>B</v>
      </c>
      <c r="N2" s="2" t="str">
        <f>IF(L2&gt;60, "Pass", "Fail")</f>
        <v>Pass</v>
      </c>
      <c r="O2" s="2">
        <f>RANK(L2,L2:L131,0)</f>
        <v>4</v>
      </c>
      <c r="P2" s="2">
        <f>AVERAGE(L2:L131)</f>
        <v>75.56153846153849</v>
      </c>
    </row>
    <row r="3" spans="1:16" x14ac:dyDescent="0.3">
      <c r="A3" s="2" t="s">
        <v>17</v>
      </c>
      <c r="B3" s="2" t="s">
        <v>146</v>
      </c>
      <c r="C3" s="2" t="s">
        <v>150</v>
      </c>
      <c r="D3" s="9">
        <v>0.88</v>
      </c>
      <c r="E3" s="2" t="s">
        <v>154</v>
      </c>
      <c r="F3" s="2" t="s">
        <v>159</v>
      </c>
      <c r="G3" s="2">
        <v>57</v>
      </c>
      <c r="H3" s="2">
        <v>68</v>
      </c>
      <c r="I3" s="2">
        <v>69</v>
      </c>
      <c r="J3" s="2">
        <f t="shared" ref="J3:J66" si="0">SUM(G3:I3)</f>
        <v>194</v>
      </c>
      <c r="K3" s="2">
        <v>300</v>
      </c>
      <c r="L3" s="2">
        <f t="shared" ref="L3:L66" si="1">SUM(J3/K3*100)</f>
        <v>64.666666666666657</v>
      </c>
      <c r="M3" s="2" t="str">
        <f t="shared" ref="M3:M66" si="2">IF(L3&gt;90,"A", IF(L3&gt;80,"B", IF(L3&gt;70,"C", IF(L3&gt;60,"D", IF(L3&gt;40,"F")))))</f>
        <v>D</v>
      </c>
      <c r="N3" s="2" t="str">
        <f t="shared" ref="N3:N66" si="3">IF(L3&gt;60, "Pass", "Fail")</f>
        <v>Pass</v>
      </c>
      <c r="O3" s="2">
        <f t="shared" ref="O3:O66" si="4">RANK(L3,L3:L132,0)</f>
        <v>117</v>
      </c>
      <c r="P3" s="2">
        <f t="shared" ref="P3:P66" si="5">AVERAGE(L3:L132)</f>
        <v>75.459948320413474</v>
      </c>
    </row>
    <row r="4" spans="1:16" x14ac:dyDescent="0.3">
      <c r="A4" s="2" t="s">
        <v>18</v>
      </c>
      <c r="B4" s="2" t="s">
        <v>147</v>
      </c>
      <c r="C4" s="2" t="s">
        <v>151</v>
      </c>
      <c r="D4" s="9">
        <v>0.92</v>
      </c>
      <c r="E4" s="2" t="s">
        <v>155</v>
      </c>
      <c r="F4" s="2" t="s">
        <v>158</v>
      </c>
      <c r="G4" s="2">
        <v>98</v>
      </c>
      <c r="H4" s="2">
        <v>73</v>
      </c>
      <c r="I4" s="2">
        <v>79</v>
      </c>
      <c r="J4" s="2">
        <f t="shared" si="0"/>
        <v>250</v>
      </c>
      <c r="K4" s="2">
        <v>300</v>
      </c>
      <c r="L4" s="2">
        <f t="shared" si="1"/>
        <v>83.333333333333343</v>
      </c>
      <c r="M4" s="2" t="str">
        <f t="shared" si="2"/>
        <v>B</v>
      </c>
      <c r="N4" s="2" t="str">
        <f t="shared" si="3"/>
        <v>Pass</v>
      </c>
      <c r="O4" s="2">
        <f t="shared" si="4"/>
        <v>18</v>
      </c>
      <c r="P4" s="2">
        <f t="shared" si="5"/>
        <v>75.544270833333371</v>
      </c>
    </row>
    <row r="5" spans="1:16" x14ac:dyDescent="0.3">
      <c r="A5" s="2" t="s">
        <v>19</v>
      </c>
      <c r="B5" s="2" t="s">
        <v>146</v>
      </c>
      <c r="C5" s="2" t="s">
        <v>150</v>
      </c>
      <c r="D5" s="9">
        <v>0.35</v>
      </c>
      <c r="E5" s="2" t="s">
        <v>153</v>
      </c>
      <c r="F5" s="2" t="s">
        <v>159</v>
      </c>
      <c r="G5" s="2">
        <v>88</v>
      </c>
      <c r="H5" s="2">
        <v>79</v>
      </c>
      <c r="I5" s="2">
        <v>68</v>
      </c>
      <c r="J5" s="2">
        <f t="shared" si="0"/>
        <v>235</v>
      </c>
      <c r="K5" s="2">
        <v>300</v>
      </c>
      <c r="L5" s="2">
        <f t="shared" si="1"/>
        <v>78.333333333333329</v>
      </c>
      <c r="M5" s="2" t="str">
        <f t="shared" si="2"/>
        <v>C</v>
      </c>
      <c r="N5" s="2" t="str">
        <f t="shared" si="3"/>
        <v>Pass</v>
      </c>
      <c r="O5" s="2">
        <f t="shared" si="4"/>
        <v>46</v>
      </c>
      <c r="P5" s="2">
        <f t="shared" si="5"/>
        <v>75.482939632545978</v>
      </c>
    </row>
    <row r="6" spans="1:16" x14ac:dyDescent="0.3">
      <c r="A6" s="2" t="s">
        <v>20</v>
      </c>
      <c r="B6" s="2" t="s">
        <v>147</v>
      </c>
      <c r="C6" s="2" t="s">
        <v>149</v>
      </c>
      <c r="D6" s="9">
        <v>0.46</v>
      </c>
      <c r="E6" s="2" t="s">
        <v>156</v>
      </c>
      <c r="F6" s="2" t="s">
        <v>158</v>
      </c>
      <c r="G6" s="2">
        <v>69</v>
      </c>
      <c r="H6" s="2">
        <v>69</v>
      </c>
      <c r="I6" s="2">
        <v>84</v>
      </c>
      <c r="J6" s="2">
        <f t="shared" si="0"/>
        <v>222</v>
      </c>
      <c r="K6" s="2">
        <v>300</v>
      </c>
      <c r="L6" s="2">
        <f t="shared" si="1"/>
        <v>74</v>
      </c>
      <c r="M6" s="2" t="str">
        <f t="shared" si="2"/>
        <v>C</v>
      </c>
      <c r="N6" s="2" t="str">
        <f t="shared" si="3"/>
        <v>Pass</v>
      </c>
      <c r="O6" s="2">
        <f t="shared" si="4"/>
        <v>73</v>
      </c>
      <c r="P6" s="2">
        <f t="shared" si="5"/>
        <v>75.460317460317498</v>
      </c>
    </row>
    <row r="7" spans="1:16" x14ac:dyDescent="0.3">
      <c r="A7" s="2" t="s">
        <v>21</v>
      </c>
      <c r="B7" s="2" t="s">
        <v>147</v>
      </c>
      <c r="C7" s="2" t="s">
        <v>148</v>
      </c>
      <c r="D7" s="9">
        <v>0.9</v>
      </c>
      <c r="E7" s="2" t="s">
        <v>154</v>
      </c>
      <c r="F7" s="2" t="s">
        <v>159</v>
      </c>
      <c r="G7" s="2">
        <v>73</v>
      </c>
      <c r="H7" s="2">
        <v>77</v>
      </c>
      <c r="I7" s="2">
        <v>91</v>
      </c>
      <c r="J7" s="2">
        <f t="shared" si="0"/>
        <v>241</v>
      </c>
      <c r="K7" s="2">
        <v>300</v>
      </c>
      <c r="L7" s="2">
        <f t="shared" si="1"/>
        <v>80.333333333333329</v>
      </c>
      <c r="M7" s="2" t="str">
        <f t="shared" si="2"/>
        <v>B</v>
      </c>
      <c r="N7" s="2" t="str">
        <f t="shared" si="3"/>
        <v>Pass</v>
      </c>
      <c r="O7" s="2">
        <f t="shared" si="4"/>
        <v>34</v>
      </c>
      <c r="P7" s="2">
        <f t="shared" si="5"/>
        <v>75.472000000000037</v>
      </c>
    </row>
    <row r="8" spans="1:16" x14ac:dyDescent="0.3">
      <c r="A8" s="2" t="s">
        <v>22</v>
      </c>
      <c r="B8" s="2" t="s">
        <v>146</v>
      </c>
      <c r="C8" s="2" t="s">
        <v>151</v>
      </c>
      <c r="D8" s="9">
        <v>0.21</v>
      </c>
      <c r="E8" s="2" t="s">
        <v>157</v>
      </c>
      <c r="F8" s="2" t="s">
        <v>158</v>
      </c>
      <c r="G8" s="2">
        <v>32</v>
      </c>
      <c r="H8" s="2">
        <v>88</v>
      </c>
      <c r="I8" s="2">
        <v>70</v>
      </c>
      <c r="J8" s="2">
        <f t="shared" si="0"/>
        <v>190</v>
      </c>
      <c r="K8" s="2">
        <v>300</v>
      </c>
      <c r="L8" s="2">
        <f t="shared" si="1"/>
        <v>63.333333333333329</v>
      </c>
      <c r="M8" s="2" t="str">
        <f t="shared" si="2"/>
        <v>D</v>
      </c>
      <c r="N8" s="2" t="str">
        <f t="shared" si="3"/>
        <v>Pass</v>
      </c>
      <c r="O8" s="2">
        <f t="shared" si="4"/>
        <v>115</v>
      </c>
      <c r="P8" s="2">
        <f t="shared" si="5"/>
        <v>75.432795698924764</v>
      </c>
    </row>
    <row r="9" spans="1:16" x14ac:dyDescent="0.3">
      <c r="A9" s="2" t="s">
        <v>23</v>
      </c>
      <c r="B9" s="2" t="s">
        <v>147</v>
      </c>
      <c r="C9" s="2" t="s">
        <v>150</v>
      </c>
      <c r="D9" s="9">
        <v>0.71</v>
      </c>
      <c r="E9" s="2" t="s">
        <v>153</v>
      </c>
      <c r="F9" s="2" t="s">
        <v>159</v>
      </c>
      <c r="G9" s="2">
        <v>58</v>
      </c>
      <c r="H9" s="2">
        <v>92</v>
      </c>
      <c r="I9" s="2">
        <v>70</v>
      </c>
      <c r="J9" s="2">
        <f t="shared" si="0"/>
        <v>220</v>
      </c>
      <c r="K9" s="2">
        <v>300</v>
      </c>
      <c r="L9" s="2">
        <f t="shared" si="1"/>
        <v>73.333333333333329</v>
      </c>
      <c r="M9" s="2" t="str">
        <f t="shared" si="2"/>
        <v>C</v>
      </c>
      <c r="N9" s="2" t="str">
        <f t="shared" si="3"/>
        <v>Pass</v>
      </c>
      <c r="O9" s="2">
        <f t="shared" si="4"/>
        <v>74</v>
      </c>
      <c r="P9" s="2">
        <f t="shared" si="5"/>
        <v>75.531165311653169</v>
      </c>
    </row>
    <row r="10" spans="1:16" x14ac:dyDescent="0.3">
      <c r="A10" s="2" t="s">
        <v>24</v>
      </c>
      <c r="B10" s="2" t="s">
        <v>146</v>
      </c>
      <c r="C10" s="2" t="s">
        <v>149</v>
      </c>
      <c r="D10" s="9">
        <v>0.69</v>
      </c>
      <c r="E10" s="2" t="s">
        <v>155</v>
      </c>
      <c r="F10" s="2" t="s">
        <v>158</v>
      </c>
      <c r="G10" s="2">
        <v>46</v>
      </c>
      <c r="H10" s="2">
        <v>94</v>
      </c>
      <c r="I10" s="2">
        <v>80</v>
      </c>
      <c r="J10" s="2">
        <f t="shared" si="0"/>
        <v>220</v>
      </c>
      <c r="K10" s="2">
        <v>300</v>
      </c>
      <c r="L10" s="2">
        <f t="shared" si="1"/>
        <v>73.333333333333329</v>
      </c>
      <c r="M10" s="2" t="str">
        <f t="shared" si="2"/>
        <v>C</v>
      </c>
      <c r="N10" s="2" t="str">
        <f t="shared" si="3"/>
        <v>Pass</v>
      </c>
      <c r="O10" s="2">
        <f t="shared" si="4"/>
        <v>74</v>
      </c>
      <c r="P10" s="2">
        <f t="shared" si="5"/>
        <v>75.549180327868896</v>
      </c>
    </row>
    <row r="11" spans="1:16" x14ac:dyDescent="0.3">
      <c r="A11" s="2" t="s">
        <v>25</v>
      </c>
      <c r="B11" s="2" t="s">
        <v>146</v>
      </c>
      <c r="C11" s="2" t="s">
        <v>152</v>
      </c>
      <c r="D11" s="9">
        <v>0.99</v>
      </c>
      <c r="E11" s="2" t="s">
        <v>156</v>
      </c>
      <c r="F11" s="2" t="s">
        <v>158</v>
      </c>
      <c r="G11" s="2">
        <v>80</v>
      </c>
      <c r="H11" s="2">
        <v>60</v>
      </c>
      <c r="I11" s="2">
        <v>95</v>
      </c>
      <c r="J11" s="2">
        <f t="shared" si="0"/>
        <v>235</v>
      </c>
      <c r="K11" s="2">
        <v>300</v>
      </c>
      <c r="L11" s="2">
        <f t="shared" si="1"/>
        <v>78.333333333333329</v>
      </c>
      <c r="M11" s="2" t="str">
        <f t="shared" si="2"/>
        <v>C</v>
      </c>
      <c r="N11" s="2" t="str">
        <f t="shared" si="3"/>
        <v>Pass</v>
      </c>
      <c r="O11" s="2">
        <f t="shared" si="4"/>
        <v>45</v>
      </c>
      <c r="P11" s="2">
        <f t="shared" si="5"/>
        <v>75.567493112947702</v>
      </c>
    </row>
    <row r="12" spans="1:16" x14ac:dyDescent="0.3">
      <c r="A12" s="2" t="s">
        <v>26</v>
      </c>
      <c r="B12" s="2" t="s">
        <v>147</v>
      </c>
      <c r="C12" s="2" t="s">
        <v>151</v>
      </c>
      <c r="D12" s="9">
        <v>0.92</v>
      </c>
      <c r="E12" s="2" t="s">
        <v>154</v>
      </c>
      <c r="F12" s="2" t="s">
        <v>159</v>
      </c>
      <c r="G12" s="2">
        <v>99</v>
      </c>
      <c r="H12" s="2">
        <v>96</v>
      </c>
      <c r="I12" s="2">
        <v>92</v>
      </c>
      <c r="J12" s="2">
        <f t="shared" si="0"/>
        <v>287</v>
      </c>
      <c r="K12" s="2">
        <v>300</v>
      </c>
      <c r="L12" s="2">
        <f t="shared" si="1"/>
        <v>95.666666666666671</v>
      </c>
      <c r="M12" s="2" t="str">
        <f t="shared" si="2"/>
        <v>A</v>
      </c>
      <c r="N12" s="2" t="str">
        <f t="shared" si="3"/>
        <v>Pass</v>
      </c>
      <c r="O12" s="2">
        <f t="shared" si="4"/>
        <v>1</v>
      </c>
      <c r="P12" s="2">
        <f t="shared" si="5"/>
        <v>75.544444444444466</v>
      </c>
    </row>
    <row r="13" spans="1:16" x14ac:dyDescent="0.3">
      <c r="A13" s="2" t="s">
        <v>27</v>
      </c>
      <c r="B13" s="2" t="s">
        <v>147</v>
      </c>
      <c r="C13" s="2" t="s">
        <v>148</v>
      </c>
      <c r="D13" s="9">
        <v>0.86</v>
      </c>
      <c r="E13" s="2" t="s">
        <v>155</v>
      </c>
      <c r="F13" s="2" t="s">
        <v>158</v>
      </c>
      <c r="G13" s="2">
        <v>68</v>
      </c>
      <c r="H13" s="2">
        <v>80</v>
      </c>
      <c r="I13" s="2">
        <v>83</v>
      </c>
      <c r="J13" s="2">
        <f t="shared" si="0"/>
        <v>231</v>
      </c>
      <c r="K13" s="2">
        <v>300</v>
      </c>
      <c r="L13" s="2">
        <f t="shared" si="1"/>
        <v>77</v>
      </c>
      <c r="M13" s="2" t="str">
        <f t="shared" si="2"/>
        <v>C</v>
      </c>
      <c r="N13" s="2" t="str">
        <f t="shared" si="3"/>
        <v>Pass</v>
      </c>
      <c r="O13" s="2">
        <f t="shared" si="4"/>
        <v>52</v>
      </c>
      <c r="P13" s="2">
        <f t="shared" si="5"/>
        <v>75.375350140056057</v>
      </c>
    </row>
    <row r="14" spans="1:16" x14ac:dyDescent="0.3">
      <c r="A14" s="2" t="s">
        <v>28</v>
      </c>
      <c r="B14" s="2" t="s">
        <v>146</v>
      </c>
      <c r="C14" s="2" t="s">
        <v>150</v>
      </c>
      <c r="D14" s="9">
        <v>0.77</v>
      </c>
      <c r="E14" s="2" t="s">
        <v>157</v>
      </c>
      <c r="F14" s="2" t="s">
        <v>159</v>
      </c>
      <c r="G14" s="2">
        <v>73</v>
      </c>
      <c r="H14" s="2">
        <v>79</v>
      </c>
      <c r="I14" s="2">
        <v>59</v>
      </c>
      <c r="J14" s="2">
        <f t="shared" si="0"/>
        <v>211</v>
      </c>
      <c r="K14" s="2">
        <v>300</v>
      </c>
      <c r="L14" s="2">
        <f t="shared" si="1"/>
        <v>70.333333333333343</v>
      </c>
      <c r="M14" s="2" t="str">
        <f t="shared" si="2"/>
        <v>C</v>
      </c>
      <c r="N14" s="2" t="str">
        <f t="shared" si="3"/>
        <v>Pass</v>
      </c>
      <c r="O14" s="2">
        <f t="shared" si="4"/>
        <v>87</v>
      </c>
      <c r="P14" s="2">
        <f t="shared" si="5"/>
        <v>75.361581920903987</v>
      </c>
    </row>
    <row r="15" spans="1:16" x14ac:dyDescent="0.3">
      <c r="A15" s="2" t="s">
        <v>29</v>
      </c>
      <c r="B15" s="2" t="s">
        <v>147</v>
      </c>
      <c r="C15" s="2" t="s">
        <v>152</v>
      </c>
      <c r="D15" s="9">
        <v>0.6</v>
      </c>
      <c r="E15" s="2" t="s">
        <v>156</v>
      </c>
      <c r="F15" s="2" t="s">
        <v>158</v>
      </c>
      <c r="G15" s="2">
        <v>52</v>
      </c>
      <c r="H15" s="2">
        <v>72</v>
      </c>
      <c r="I15" s="2">
        <v>66</v>
      </c>
      <c r="J15" s="2">
        <f t="shared" si="0"/>
        <v>190</v>
      </c>
      <c r="K15" s="2">
        <v>300</v>
      </c>
      <c r="L15" s="2">
        <f t="shared" si="1"/>
        <v>63.333333333333329</v>
      </c>
      <c r="M15" s="2" t="str">
        <f t="shared" si="2"/>
        <v>D</v>
      </c>
      <c r="N15" s="2" t="str">
        <f t="shared" si="3"/>
        <v>Pass</v>
      </c>
      <c r="O15" s="2">
        <f t="shared" si="4"/>
        <v>109</v>
      </c>
      <c r="P15" s="2">
        <f t="shared" si="5"/>
        <v>75.404558404558443</v>
      </c>
    </row>
    <row r="16" spans="1:16" x14ac:dyDescent="0.3">
      <c r="A16" s="2" t="s">
        <v>30</v>
      </c>
      <c r="B16" s="2" t="s">
        <v>147</v>
      </c>
      <c r="C16" s="2" t="s">
        <v>151</v>
      </c>
      <c r="D16" s="9">
        <v>0.73</v>
      </c>
      <c r="E16" s="2" t="s">
        <v>153</v>
      </c>
      <c r="F16" s="2" t="s">
        <v>158</v>
      </c>
      <c r="G16" s="2">
        <v>69</v>
      </c>
      <c r="H16" s="2">
        <v>99</v>
      </c>
      <c r="I16" s="2">
        <v>74</v>
      </c>
      <c r="J16" s="2">
        <f t="shared" si="0"/>
        <v>242</v>
      </c>
      <c r="K16" s="2">
        <v>300</v>
      </c>
      <c r="L16" s="2">
        <f t="shared" si="1"/>
        <v>80.666666666666657</v>
      </c>
      <c r="M16" s="2" t="str">
        <f t="shared" si="2"/>
        <v>B</v>
      </c>
      <c r="N16" s="2" t="str">
        <f t="shared" si="3"/>
        <v>Pass</v>
      </c>
      <c r="O16" s="2">
        <f t="shared" si="4"/>
        <v>31</v>
      </c>
      <c r="P16" s="2">
        <f t="shared" si="5"/>
        <v>75.508620689655203</v>
      </c>
    </row>
    <row r="17" spans="1:16" x14ac:dyDescent="0.3">
      <c r="A17" s="2" t="s">
        <v>31</v>
      </c>
      <c r="B17" s="2" t="s">
        <v>146</v>
      </c>
      <c r="C17" s="2" t="s">
        <v>148</v>
      </c>
      <c r="D17" s="9">
        <v>0.89</v>
      </c>
      <c r="E17" s="2" t="s">
        <v>157</v>
      </c>
      <c r="F17" s="2" t="s">
        <v>158</v>
      </c>
      <c r="G17" s="2">
        <v>77</v>
      </c>
      <c r="H17" s="2">
        <v>66</v>
      </c>
      <c r="I17" s="2">
        <v>58</v>
      </c>
      <c r="J17" s="2">
        <f t="shared" si="0"/>
        <v>201</v>
      </c>
      <c r="K17" s="2">
        <v>300</v>
      </c>
      <c r="L17" s="2">
        <f t="shared" si="1"/>
        <v>67</v>
      </c>
      <c r="M17" s="2" t="str">
        <f t="shared" si="2"/>
        <v>D</v>
      </c>
      <c r="N17" s="2" t="str">
        <f t="shared" si="3"/>
        <v>Pass</v>
      </c>
      <c r="O17" s="2">
        <f t="shared" si="4"/>
        <v>101</v>
      </c>
      <c r="P17" s="2">
        <f t="shared" si="5"/>
        <v>75.463768115942045</v>
      </c>
    </row>
    <row r="18" spans="1:16" x14ac:dyDescent="0.3">
      <c r="A18" s="2" t="s">
        <v>32</v>
      </c>
      <c r="B18" s="2" t="s">
        <v>146</v>
      </c>
      <c r="C18" s="2" t="s">
        <v>150</v>
      </c>
      <c r="D18" s="9">
        <v>0.59</v>
      </c>
      <c r="E18" s="2" t="s">
        <v>154</v>
      </c>
      <c r="F18" s="2" t="s">
        <v>159</v>
      </c>
      <c r="G18" s="2">
        <v>88</v>
      </c>
      <c r="H18" s="2">
        <v>89</v>
      </c>
      <c r="I18" s="2">
        <v>56</v>
      </c>
      <c r="J18" s="2">
        <f t="shared" si="0"/>
        <v>233</v>
      </c>
      <c r="K18" s="2">
        <v>300</v>
      </c>
      <c r="L18" s="2">
        <f t="shared" si="1"/>
        <v>77.666666666666657</v>
      </c>
      <c r="M18" s="2" t="str">
        <f t="shared" si="2"/>
        <v>C</v>
      </c>
      <c r="N18" s="2" t="str">
        <f t="shared" si="3"/>
        <v>Pass</v>
      </c>
      <c r="O18" s="2">
        <f t="shared" si="4"/>
        <v>47</v>
      </c>
      <c r="P18" s="2">
        <f t="shared" si="5"/>
        <v>75.538011695906448</v>
      </c>
    </row>
    <row r="19" spans="1:16" x14ac:dyDescent="0.3">
      <c r="A19" s="2" t="s">
        <v>33</v>
      </c>
      <c r="B19" s="2" t="s">
        <v>146</v>
      </c>
      <c r="C19" s="2" t="s">
        <v>152</v>
      </c>
      <c r="D19" s="9">
        <v>0.5</v>
      </c>
      <c r="E19" s="2" t="s">
        <v>155</v>
      </c>
      <c r="F19" s="2" t="s">
        <v>159</v>
      </c>
      <c r="G19" s="2">
        <v>92</v>
      </c>
      <c r="H19" s="2">
        <v>62</v>
      </c>
      <c r="I19" s="2">
        <v>43</v>
      </c>
      <c r="J19" s="2">
        <f t="shared" si="0"/>
        <v>197</v>
      </c>
      <c r="K19" s="2">
        <v>300</v>
      </c>
      <c r="L19" s="2">
        <f t="shared" si="1"/>
        <v>65.666666666666657</v>
      </c>
      <c r="M19" s="2" t="str">
        <f t="shared" si="2"/>
        <v>D</v>
      </c>
      <c r="N19" s="2" t="str">
        <f t="shared" si="3"/>
        <v>Pass</v>
      </c>
      <c r="O19" s="2">
        <f t="shared" si="4"/>
        <v>102</v>
      </c>
      <c r="P19" s="2">
        <f t="shared" si="5"/>
        <v>75.519174041297958</v>
      </c>
    </row>
    <row r="20" spans="1:16" x14ac:dyDescent="0.3">
      <c r="A20" s="2" t="s">
        <v>34</v>
      </c>
      <c r="B20" s="2" t="s">
        <v>147</v>
      </c>
      <c r="C20" s="2" t="s">
        <v>151</v>
      </c>
      <c r="D20" s="9">
        <v>0.64</v>
      </c>
      <c r="E20" s="2" t="s">
        <v>156</v>
      </c>
      <c r="F20" s="2" t="s">
        <v>158</v>
      </c>
      <c r="G20" s="2">
        <v>94</v>
      </c>
      <c r="H20" s="2">
        <v>56</v>
      </c>
      <c r="I20" s="2">
        <v>57</v>
      </c>
      <c r="J20" s="2">
        <f t="shared" si="0"/>
        <v>207</v>
      </c>
      <c r="K20" s="2">
        <v>300</v>
      </c>
      <c r="L20" s="2">
        <f t="shared" si="1"/>
        <v>69</v>
      </c>
      <c r="M20" s="2" t="str">
        <f t="shared" si="2"/>
        <v>D</v>
      </c>
      <c r="N20" s="2" t="str">
        <f t="shared" si="3"/>
        <v>Pass</v>
      </c>
      <c r="O20" s="2">
        <f t="shared" si="4"/>
        <v>93</v>
      </c>
      <c r="P20" s="2">
        <f t="shared" si="5"/>
        <v>75.60714285714289</v>
      </c>
    </row>
    <row r="21" spans="1:16" x14ac:dyDescent="0.3">
      <c r="A21" s="2" t="s">
        <v>35</v>
      </c>
      <c r="B21" s="2" t="s">
        <v>147</v>
      </c>
      <c r="C21" s="2" t="s">
        <v>148</v>
      </c>
      <c r="D21" s="9">
        <v>0.78</v>
      </c>
      <c r="E21" s="2" t="s">
        <v>153</v>
      </c>
      <c r="F21" s="2" t="s">
        <v>159</v>
      </c>
      <c r="G21" s="2">
        <v>60</v>
      </c>
      <c r="H21" s="2">
        <v>84</v>
      </c>
      <c r="I21" s="2">
        <v>57</v>
      </c>
      <c r="J21" s="2">
        <f t="shared" si="0"/>
        <v>201</v>
      </c>
      <c r="K21" s="2">
        <v>300</v>
      </c>
      <c r="L21" s="2">
        <f t="shared" si="1"/>
        <v>67</v>
      </c>
      <c r="M21" s="2" t="str">
        <f t="shared" si="2"/>
        <v>D</v>
      </c>
      <c r="N21" s="2" t="str">
        <f t="shared" si="3"/>
        <v>Pass</v>
      </c>
      <c r="O21" s="2">
        <f t="shared" si="4"/>
        <v>99</v>
      </c>
      <c r="P21" s="2">
        <f t="shared" si="5"/>
        <v>75.666666666666686</v>
      </c>
    </row>
    <row r="22" spans="1:16" x14ac:dyDescent="0.3">
      <c r="A22" s="2" t="s">
        <v>36</v>
      </c>
      <c r="B22" s="2" t="s">
        <v>147</v>
      </c>
      <c r="C22" s="2" t="s">
        <v>150</v>
      </c>
      <c r="D22" s="9">
        <v>0.43</v>
      </c>
      <c r="E22" s="2" t="s">
        <v>157</v>
      </c>
      <c r="F22" s="2" t="s">
        <v>158</v>
      </c>
      <c r="G22" s="2">
        <v>96</v>
      </c>
      <c r="H22" s="2">
        <v>86</v>
      </c>
      <c r="I22" s="2">
        <v>69</v>
      </c>
      <c r="J22" s="2">
        <f t="shared" si="0"/>
        <v>251</v>
      </c>
      <c r="K22" s="2">
        <v>300</v>
      </c>
      <c r="L22" s="2">
        <f t="shared" si="1"/>
        <v>83.666666666666671</v>
      </c>
      <c r="M22" s="2" t="str">
        <f t="shared" si="2"/>
        <v>B</v>
      </c>
      <c r="N22" s="2" t="str">
        <f t="shared" si="3"/>
        <v>Pass</v>
      </c>
      <c r="O22" s="2">
        <f t="shared" si="4"/>
        <v>16</v>
      </c>
      <c r="P22" s="2">
        <f t="shared" si="5"/>
        <v>75.745454545454564</v>
      </c>
    </row>
    <row r="23" spans="1:16" x14ac:dyDescent="0.3">
      <c r="A23" s="2" t="s">
        <v>37</v>
      </c>
      <c r="B23" s="2" t="s">
        <v>146</v>
      </c>
      <c r="C23" s="2" t="s">
        <v>151</v>
      </c>
      <c r="D23" s="9">
        <v>0.76</v>
      </c>
      <c r="E23" s="2" t="s">
        <v>155</v>
      </c>
      <c r="F23" s="2" t="s">
        <v>159</v>
      </c>
      <c r="G23" s="2">
        <v>80</v>
      </c>
      <c r="H23" s="2">
        <v>91</v>
      </c>
      <c r="I23" s="2">
        <v>78</v>
      </c>
      <c r="J23" s="2">
        <f t="shared" si="0"/>
        <v>249</v>
      </c>
      <c r="K23" s="2">
        <v>300</v>
      </c>
      <c r="L23" s="2">
        <f t="shared" si="1"/>
        <v>83</v>
      </c>
      <c r="M23" s="2" t="str">
        <f t="shared" si="2"/>
        <v>B</v>
      </c>
      <c r="N23" s="2" t="str">
        <f t="shared" si="3"/>
        <v>Pass</v>
      </c>
      <c r="O23" s="2">
        <f t="shared" si="4"/>
        <v>17</v>
      </c>
      <c r="P23" s="2">
        <f t="shared" si="5"/>
        <v>75.672782874617752</v>
      </c>
    </row>
    <row r="24" spans="1:16" x14ac:dyDescent="0.3">
      <c r="A24" s="2" t="s">
        <v>38</v>
      </c>
      <c r="B24" s="2" t="s">
        <v>147</v>
      </c>
      <c r="C24" s="2" t="s">
        <v>148</v>
      </c>
      <c r="D24" s="9">
        <v>0.8</v>
      </c>
      <c r="E24" s="2" t="s">
        <v>156</v>
      </c>
      <c r="F24" s="2" t="s">
        <v>158</v>
      </c>
      <c r="G24" s="2">
        <v>79</v>
      </c>
      <c r="H24" s="2">
        <v>70</v>
      </c>
      <c r="I24" s="2">
        <v>43</v>
      </c>
      <c r="J24" s="2">
        <f t="shared" si="0"/>
        <v>192</v>
      </c>
      <c r="K24" s="2">
        <v>300</v>
      </c>
      <c r="L24" s="2">
        <f t="shared" si="1"/>
        <v>64</v>
      </c>
      <c r="M24" s="2" t="str">
        <f t="shared" si="2"/>
        <v>D</v>
      </c>
      <c r="N24" s="2" t="str">
        <f t="shared" si="3"/>
        <v>Pass</v>
      </c>
      <c r="O24" s="2">
        <f t="shared" si="4"/>
        <v>100</v>
      </c>
      <c r="P24" s="2">
        <f t="shared" si="5"/>
        <v>75.604938271604951</v>
      </c>
    </row>
    <row r="25" spans="1:16" x14ac:dyDescent="0.3">
      <c r="A25" s="2" t="s">
        <v>39</v>
      </c>
      <c r="B25" s="2" t="s">
        <v>146</v>
      </c>
      <c r="C25" s="2" t="s">
        <v>149</v>
      </c>
      <c r="D25" s="9">
        <v>0.95</v>
      </c>
      <c r="E25" s="2" t="s">
        <v>154</v>
      </c>
      <c r="F25" s="2" t="s">
        <v>159</v>
      </c>
      <c r="G25" s="2">
        <v>72</v>
      </c>
      <c r="H25" s="2">
        <v>70</v>
      </c>
      <c r="I25" s="2">
        <v>52</v>
      </c>
      <c r="J25" s="2">
        <f t="shared" si="0"/>
        <v>194</v>
      </c>
      <c r="K25" s="2">
        <v>300</v>
      </c>
      <c r="L25" s="2">
        <f t="shared" si="1"/>
        <v>64.666666666666657</v>
      </c>
      <c r="M25" s="2" t="str">
        <f t="shared" si="2"/>
        <v>D</v>
      </c>
      <c r="N25" s="2" t="str">
        <f t="shared" si="3"/>
        <v>Pass</v>
      </c>
      <c r="O25" s="2">
        <f t="shared" si="4"/>
        <v>99</v>
      </c>
      <c r="P25" s="2">
        <f t="shared" si="5"/>
        <v>75.713395638629294</v>
      </c>
    </row>
    <row r="26" spans="1:16" x14ac:dyDescent="0.3">
      <c r="A26" s="2" t="s">
        <v>40</v>
      </c>
      <c r="B26" s="2" t="s">
        <v>147</v>
      </c>
      <c r="C26" s="2" t="s">
        <v>151</v>
      </c>
      <c r="D26" s="9">
        <v>0.4</v>
      </c>
      <c r="E26" s="2" t="s">
        <v>155</v>
      </c>
      <c r="F26" s="2" t="s">
        <v>158</v>
      </c>
      <c r="G26" s="2">
        <v>99</v>
      </c>
      <c r="H26" s="2">
        <v>80</v>
      </c>
      <c r="I26" s="2">
        <v>69</v>
      </c>
      <c r="J26" s="2">
        <f t="shared" si="0"/>
        <v>248</v>
      </c>
      <c r="K26" s="2">
        <v>300</v>
      </c>
      <c r="L26" s="2">
        <f t="shared" si="1"/>
        <v>82.666666666666671</v>
      </c>
      <c r="M26" s="2" t="str">
        <f t="shared" si="2"/>
        <v>B</v>
      </c>
      <c r="N26" s="2" t="str">
        <f t="shared" si="3"/>
        <v>Pass</v>
      </c>
      <c r="O26" s="2">
        <f t="shared" si="4"/>
        <v>18</v>
      </c>
      <c r="P26" s="2">
        <f t="shared" si="5"/>
        <v>75.817610062893095</v>
      </c>
    </row>
    <row r="27" spans="1:16" x14ac:dyDescent="0.3">
      <c r="A27" s="2" t="s">
        <v>41</v>
      </c>
      <c r="B27" s="2" t="s">
        <v>146</v>
      </c>
      <c r="C27" s="2" t="s">
        <v>148</v>
      </c>
      <c r="D27" s="9">
        <v>0.62</v>
      </c>
      <c r="E27" s="2" t="s">
        <v>156</v>
      </c>
      <c r="F27" s="2" t="s">
        <v>158</v>
      </c>
      <c r="G27" s="2">
        <v>66</v>
      </c>
      <c r="H27" s="2">
        <v>95</v>
      </c>
      <c r="I27" s="2">
        <v>50</v>
      </c>
      <c r="J27" s="2">
        <f t="shared" si="0"/>
        <v>211</v>
      </c>
      <c r="K27" s="2">
        <v>300</v>
      </c>
      <c r="L27" s="2">
        <f t="shared" si="1"/>
        <v>70.333333333333343</v>
      </c>
      <c r="M27" s="2" t="str">
        <f t="shared" si="2"/>
        <v>C</v>
      </c>
      <c r="N27" s="2" t="str">
        <f t="shared" si="3"/>
        <v>Pass</v>
      </c>
      <c r="O27" s="2">
        <f t="shared" si="4"/>
        <v>82</v>
      </c>
      <c r="P27" s="2">
        <f t="shared" si="5"/>
        <v>75.75238095238096</v>
      </c>
    </row>
    <row r="28" spans="1:16" x14ac:dyDescent="0.3">
      <c r="A28" s="2" t="s">
        <v>42</v>
      </c>
      <c r="B28" s="2" t="s">
        <v>147</v>
      </c>
      <c r="C28" s="2" t="s">
        <v>148</v>
      </c>
      <c r="D28" s="9">
        <v>0.88</v>
      </c>
      <c r="E28" s="2" t="s">
        <v>154</v>
      </c>
      <c r="F28" s="2" t="s">
        <v>158</v>
      </c>
      <c r="G28" s="2">
        <v>89</v>
      </c>
      <c r="H28" s="2">
        <v>92</v>
      </c>
      <c r="I28" s="2">
        <v>79</v>
      </c>
      <c r="J28" s="2">
        <f t="shared" si="0"/>
        <v>260</v>
      </c>
      <c r="K28" s="2">
        <v>300</v>
      </c>
      <c r="L28" s="2">
        <f t="shared" si="1"/>
        <v>86.666666666666671</v>
      </c>
      <c r="M28" s="2" t="str">
        <f t="shared" si="2"/>
        <v>B</v>
      </c>
      <c r="N28" s="2" t="str">
        <f t="shared" si="3"/>
        <v>Pass</v>
      </c>
      <c r="O28" s="2">
        <f t="shared" si="4"/>
        <v>3</v>
      </c>
      <c r="P28" s="2">
        <f t="shared" si="5"/>
        <v>75.804487179487197</v>
      </c>
    </row>
    <row r="29" spans="1:16" x14ac:dyDescent="0.3">
      <c r="A29" s="2" t="s">
        <v>43</v>
      </c>
      <c r="B29" s="2" t="s">
        <v>146</v>
      </c>
      <c r="C29" s="2" t="s">
        <v>152</v>
      </c>
      <c r="D29" s="9">
        <v>0.99</v>
      </c>
      <c r="E29" s="2" t="s">
        <v>156</v>
      </c>
      <c r="F29" s="2" t="s">
        <v>159</v>
      </c>
      <c r="G29" s="2">
        <v>62</v>
      </c>
      <c r="H29" s="2">
        <v>83</v>
      </c>
      <c r="I29" s="2">
        <v>82</v>
      </c>
      <c r="J29" s="2">
        <f t="shared" si="0"/>
        <v>227</v>
      </c>
      <c r="K29" s="2">
        <v>300</v>
      </c>
      <c r="L29" s="2">
        <f t="shared" si="1"/>
        <v>75.666666666666671</v>
      </c>
      <c r="M29" s="2" t="str">
        <f t="shared" si="2"/>
        <v>C</v>
      </c>
      <c r="N29" s="2" t="str">
        <f t="shared" si="3"/>
        <v>Pass</v>
      </c>
      <c r="O29" s="2">
        <f t="shared" si="4"/>
        <v>53</v>
      </c>
      <c r="P29" s="2">
        <f t="shared" si="5"/>
        <v>75.699029126213617</v>
      </c>
    </row>
    <row r="30" spans="1:16" x14ac:dyDescent="0.3">
      <c r="A30" s="2" t="s">
        <v>44</v>
      </c>
      <c r="B30" s="2" t="s">
        <v>147</v>
      </c>
      <c r="C30" s="2" t="s">
        <v>150</v>
      </c>
      <c r="D30" s="9">
        <v>0.32</v>
      </c>
      <c r="E30" s="2" t="s">
        <v>156</v>
      </c>
      <c r="F30" s="2" t="s">
        <v>158</v>
      </c>
      <c r="G30" s="2">
        <v>56</v>
      </c>
      <c r="H30" s="2">
        <v>59</v>
      </c>
      <c r="I30" s="2">
        <v>94</v>
      </c>
      <c r="J30" s="2">
        <f t="shared" si="0"/>
        <v>209</v>
      </c>
      <c r="K30" s="2">
        <v>300</v>
      </c>
      <c r="L30" s="2">
        <f t="shared" si="1"/>
        <v>69.666666666666671</v>
      </c>
      <c r="M30" s="2" t="str">
        <f t="shared" si="2"/>
        <v>D</v>
      </c>
      <c r="N30" s="2" t="str">
        <f t="shared" si="3"/>
        <v>Pass</v>
      </c>
      <c r="O30" s="2">
        <f t="shared" si="4"/>
        <v>84</v>
      </c>
      <c r="P30" s="2">
        <f t="shared" si="5"/>
        <v>75.699346405228766</v>
      </c>
    </row>
    <row r="31" spans="1:16" x14ac:dyDescent="0.3">
      <c r="A31" s="2" t="s">
        <v>45</v>
      </c>
      <c r="B31" s="2" t="s">
        <v>146</v>
      </c>
      <c r="C31" s="2" t="s">
        <v>151</v>
      </c>
      <c r="D31" s="9">
        <v>0.74</v>
      </c>
      <c r="E31" s="2" t="s">
        <v>153</v>
      </c>
      <c r="F31" s="2" t="s">
        <v>159</v>
      </c>
      <c r="G31" s="2">
        <v>84</v>
      </c>
      <c r="H31" s="2">
        <v>66</v>
      </c>
      <c r="I31" s="2">
        <v>81</v>
      </c>
      <c r="J31" s="2">
        <f t="shared" si="0"/>
        <v>231</v>
      </c>
      <c r="K31" s="2">
        <v>300</v>
      </c>
      <c r="L31" s="2">
        <f t="shared" si="1"/>
        <v>77</v>
      </c>
      <c r="M31" s="2" t="str">
        <f t="shared" si="2"/>
        <v>C</v>
      </c>
      <c r="N31" s="2" t="str">
        <f t="shared" si="3"/>
        <v>Pass</v>
      </c>
      <c r="O31" s="2">
        <f t="shared" si="4"/>
        <v>46</v>
      </c>
      <c r="P31" s="2">
        <f t="shared" si="5"/>
        <v>75.75907590759077</v>
      </c>
    </row>
    <row r="32" spans="1:16" x14ac:dyDescent="0.3">
      <c r="A32" s="2" t="s">
        <v>46</v>
      </c>
      <c r="B32" s="2" t="s">
        <v>147</v>
      </c>
      <c r="C32" s="2" t="s">
        <v>150</v>
      </c>
      <c r="D32" s="9">
        <v>0.75</v>
      </c>
      <c r="E32" s="2" t="s">
        <v>155</v>
      </c>
      <c r="F32" s="2" t="s">
        <v>158</v>
      </c>
      <c r="G32" s="2">
        <v>86</v>
      </c>
      <c r="H32" s="2">
        <v>74</v>
      </c>
      <c r="I32" s="2">
        <v>77</v>
      </c>
      <c r="J32" s="2">
        <f t="shared" si="0"/>
        <v>237</v>
      </c>
      <c r="K32" s="2">
        <v>300</v>
      </c>
      <c r="L32" s="2">
        <f t="shared" si="1"/>
        <v>79</v>
      </c>
      <c r="M32" s="2" t="str">
        <f t="shared" si="2"/>
        <v>C</v>
      </c>
      <c r="N32" s="2" t="str">
        <f t="shared" si="3"/>
        <v>Pass</v>
      </c>
      <c r="O32" s="2">
        <f t="shared" si="4"/>
        <v>33</v>
      </c>
      <c r="P32" s="2">
        <f t="shared" si="5"/>
        <v>75.746666666666684</v>
      </c>
    </row>
    <row r="33" spans="1:16" x14ac:dyDescent="0.3">
      <c r="A33" s="2" t="s">
        <v>47</v>
      </c>
      <c r="B33" s="2" t="s">
        <v>146</v>
      </c>
      <c r="C33" s="2" t="s">
        <v>148</v>
      </c>
      <c r="D33" s="9">
        <v>0.88</v>
      </c>
      <c r="E33" s="2" t="s">
        <v>154</v>
      </c>
      <c r="F33" s="2" t="s">
        <v>159</v>
      </c>
      <c r="G33" s="2">
        <v>91</v>
      </c>
      <c r="H33" s="2">
        <v>59</v>
      </c>
      <c r="I33" s="2">
        <v>94</v>
      </c>
      <c r="J33" s="2">
        <f t="shared" si="0"/>
        <v>244</v>
      </c>
      <c r="K33" s="2">
        <v>300</v>
      </c>
      <c r="L33" s="2">
        <f t="shared" si="1"/>
        <v>81.333333333333329</v>
      </c>
      <c r="M33" s="2" t="str">
        <f t="shared" si="2"/>
        <v>B</v>
      </c>
      <c r="N33" s="2" t="str">
        <f t="shared" si="3"/>
        <v>Pass</v>
      </c>
      <c r="O33" s="2">
        <f t="shared" si="4"/>
        <v>25</v>
      </c>
      <c r="P33" s="2">
        <f t="shared" si="5"/>
        <v>75.71380471380472</v>
      </c>
    </row>
    <row r="34" spans="1:16" x14ac:dyDescent="0.3">
      <c r="A34" s="2" t="s">
        <v>48</v>
      </c>
      <c r="B34" s="2" t="s">
        <v>146</v>
      </c>
      <c r="C34" s="2" t="s">
        <v>149</v>
      </c>
      <c r="D34" s="9">
        <v>0.92</v>
      </c>
      <c r="E34" s="2" t="s">
        <v>157</v>
      </c>
      <c r="F34" s="2" t="s">
        <v>158</v>
      </c>
      <c r="G34" s="2">
        <v>70</v>
      </c>
      <c r="H34" s="2">
        <v>79</v>
      </c>
      <c r="I34" s="2">
        <v>73</v>
      </c>
      <c r="J34" s="2">
        <f t="shared" si="0"/>
        <v>222</v>
      </c>
      <c r="K34" s="2">
        <v>300</v>
      </c>
      <c r="L34" s="2">
        <f t="shared" si="1"/>
        <v>74</v>
      </c>
      <c r="M34" s="2" t="str">
        <f t="shared" si="2"/>
        <v>C</v>
      </c>
      <c r="N34" s="2" t="str">
        <f t="shared" si="3"/>
        <v>Pass</v>
      </c>
      <c r="O34" s="2">
        <f t="shared" si="4"/>
        <v>59</v>
      </c>
      <c r="P34" s="2">
        <f t="shared" si="5"/>
        <v>75.656462585034021</v>
      </c>
    </row>
    <row r="35" spans="1:16" x14ac:dyDescent="0.3">
      <c r="A35" s="2" t="s">
        <v>49</v>
      </c>
      <c r="B35" s="2" t="s">
        <v>147</v>
      </c>
      <c r="C35" s="2" t="s">
        <v>152</v>
      </c>
      <c r="D35" s="9">
        <v>0.35</v>
      </c>
      <c r="E35" s="2" t="s">
        <v>155</v>
      </c>
      <c r="F35" s="2" t="s">
        <v>159</v>
      </c>
      <c r="G35" s="2">
        <v>70</v>
      </c>
      <c r="H35" s="2">
        <v>66</v>
      </c>
      <c r="I35" s="2">
        <v>83</v>
      </c>
      <c r="J35" s="2">
        <f t="shared" si="0"/>
        <v>219</v>
      </c>
      <c r="K35" s="2">
        <v>300</v>
      </c>
      <c r="L35" s="2">
        <f t="shared" si="1"/>
        <v>73</v>
      </c>
      <c r="M35" s="2" t="str">
        <f t="shared" si="2"/>
        <v>C</v>
      </c>
      <c r="N35" s="2" t="str">
        <f t="shared" si="3"/>
        <v>Pass</v>
      </c>
      <c r="O35" s="2">
        <f t="shared" si="4"/>
        <v>62</v>
      </c>
      <c r="P35" s="2">
        <f t="shared" si="5"/>
        <v>75.673539518900355</v>
      </c>
    </row>
    <row r="36" spans="1:16" x14ac:dyDescent="0.3">
      <c r="A36" s="2" t="s">
        <v>50</v>
      </c>
      <c r="B36" s="2" t="s">
        <v>146</v>
      </c>
      <c r="C36" s="2" t="s">
        <v>151</v>
      </c>
      <c r="D36" s="9">
        <v>0.46</v>
      </c>
      <c r="E36" s="2" t="s">
        <v>153</v>
      </c>
      <c r="F36" s="2" t="s">
        <v>158</v>
      </c>
      <c r="G36" s="2">
        <v>80</v>
      </c>
      <c r="H36" s="2">
        <v>77</v>
      </c>
      <c r="I36" s="2">
        <v>59</v>
      </c>
      <c r="J36" s="2">
        <f t="shared" si="0"/>
        <v>216</v>
      </c>
      <c r="K36" s="2">
        <v>300</v>
      </c>
      <c r="L36" s="2">
        <f t="shared" si="1"/>
        <v>72</v>
      </c>
      <c r="M36" s="2" t="str">
        <f t="shared" si="2"/>
        <v>C</v>
      </c>
      <c r="N36" s="2" t="str">
        <f t="shared" si="3"/>
        <v>Pass</v>
      </c>
      <c r="O36" s="2">
        <f t="shared" si="4"/>
        <v>64</v>
      </c>
      <c r="P36" s="2">
        <f t="shared" si="5"/>
        <v>75.7013888888889</v>
      </c>
    </row>
    <row r="37" spans="1:16" x14ac:dyDescent="0.3">
      <c r="A37" s="2" t="s">
        <v>51</v>
      </c>
      <c r="B37" s="2" t="s">
        <v>146</v>
      </c>
      <c r="C37" s="2" t="s">
        <v>152</v>
      </c>
      <c r="D37" s="9">
        <v>0.9</v>
      </c>
      <c r="E37" s="2" t="s">
        <v>156</v>
      </c>
      <c r="F37" s="2" t="s">
        <v>158</v>
      </c>
      <c r="G37" s="2">
        <v>95</v>
      </c>
      <c r="H37" s="2">
        <v>80</v>
      </c>
      <c r="I37" s="2">
        <v>66</v>
      </c>
      <c r="J37" s="2">
        <f t="shared" si="0"/>
        <v>241</v>
      </c>
      <c r="K37" s="2">
        <v>300</v>
      </c>
      <c r="L37" s="2">
        <f t="shared" si="1"/>
        <v>80.333333333333329</v>
      </c>
      <c r="M37" s="2" t="str">
        <f t="shared" si="2"/>
        <v>B</v>
      </c>
      <c r="N37" s="2" t="str">
        <f t="shared" si="3"/>
        <v>Pass</v>
      </c>
      <c r="O37" s="2">
        <f t="shared" si="4"/>
        <v>27</v>
      </c>
      <c r="P37" s="2">
        <f t="shared" si="5"/>
        <v>75.740350877192995</v>
      </c>
    </row>
    <row r="38" spans="1:16" x14ac:dyDescent="0.3">
      <c r="A38" s="2" t="s">
        <v>52</v>
      </c>
      <c r="B38" s="2" t="s">
        <v>147</v>
      </c>
      <c r="C38" s="2" t="s">
        <v>150</v>
      </c>
      <c r="D38" s="9">
        <v>0.21</v>
      </c>
      <c r="E38" s="2" t="s">
        <v>154</v>
      </c>
      <c r="F38" s="2" t="s">
        <v>158</v>
      </c>
      <c r="G38" s="2">
        <v>92</v>
      </c>
      <c r="H38" s="2">
        <v>73</v>
      </c>
      <c r="I38" s="2">
        <v>74</v>
      </c>
      <c r="J38" s="2">
        <f t="shared" si="0"/>
        <v>239</v>
      </c>
      <c r="K38" s="2">
        <v>300</v>
      </c>
      <c r="L38" s="2">
        <f t="shared" si="1"/>
        <v>79.666666666666657</v>
      </c>
      <c r="M38" s="2" t="str">
        <f t="shared" si="2"/>
        <v>C</v>
      </c>
      <c r="N38" s="2" t="str">
        <f t="shared" si="3"/>
        <v>Pass</v>
      </c>
      <c r="O38" s="2">
        <f t="shared" si="4"/>
        <v>28</v>
      </c>
      <c r="P38" s="2">
        <f t="shared" si="5"/>
        <v>75.691489361702125</v>
      </c>
    </row>
    <row r="39" spans="1:16" x14ac:dyDescent="0.3">
      <c r="A39" s="2" t="s">
        <v>53</v>
      </c>
      <c r="B39" s="2" t="s">
        <v>146</v>
      </c>
      <c r="C39" s="2" t="s">
        <v>148</v>
      </c>
      <c r="D39" s="9">
        <v>0.71</v>
      </c>
      <c r="E39" s="2" t="s">
        <v>155</v>
      </c>
      <c r="F39" s="2" t="s">
        <v>159</v>
      </c>
      <c r="G39" s="2">
        <v>83</v>
      </c>
      <c r="H39" s="2">
        <v>84</v>
      </c>
      <c r="I39" s="2">
        <v>59</v>
      </c>
      <c r="J39" s="2">
        <f t="shared" si="0"/>
        <v>226</v>
      </c>
      <c r="K39" s="2">
        <v>300</v>
      </c>
      <c r="L39" s="2">
        <f t="shared" si="1"/>
        <v>75.333333333333329</v>
      </c>
      <c r="M39" s="2" t="str">
        <f t="shared" si="2"/>
        <v>C</v>
      </c>
      <c r="N39" s="2" t="str">
        <f t="shared" si="3"/>
        <v>Pass</v>
      </c>
      <c r="O39" s="2">
        <f t="shared" si="4"/>
        <v>48</v>
      </c>
      <c r="P39" s="2">
        <f t="shared" si="5"/>
        <v>75.648745519713259</v>
      </c>
    </row>
    <row r="40" spans="1:16" x14ac:dyDescent="0.3">
      <c r="A40" s="2" t="s">
        <v>54</v>
      </c>
      <c r="B40" s="2" t="s">
        <v>147</v>
      </c>
      <c r="C40" s="2" t="s">
        <v>152</v>
      </c>
      <c r="D40" s="9">
        <v>0.69</v>
      </c>
      <c r="E40" s="2" t="s">
        <v>153</v>
      </c>
      <c r="F40" s="2" t="s">
        <v>158</v>
      </c>
      <c r="G40" s="2">
        <v>59</v>
      </c>
      <c r="H40" s="2">
        <v>97</v>
      </c>
      <c r="I40" s="2">
        <v>79</v>
      </c>
      <c r="J40" s="2">
        <f t="shared" si="0"/>
        <v>235</v>
      </c>
      <c r="K40" s="2">
        <v>300</v>
      </c>
      <c r="L40" s="2">
        <f t="shared" si="1"/>
        <v>78.333333333333329</v>
      </c>
      <c r="M40" s="2" t="str">
        <f t="shared" si="2"/>
        <v>C</v>
      </c>
      <c r="N40" s="2" t="str">
        <f t="shared" si="3"/>
        <v>Pass</v>
      </c>
      <c r="O40" s="2">
        <f t="shared" si="4"/>
        <v>35</v>
      </c>
      <c r="P40" s="2">
        <f t="shared" si="5"/>
        <v>75.65217391304347</v>
      </c>
    </row>
    <row r="41" spans="1:16" x14ac:dyDescent="0.3">
      <c r="A41" s="2" t="s">
        <v>55</v>
      </c>
      <c r="B41" s="2" t="s">
        <v>147</v>
      </c>
      <c r="C41" s="2" t="s">
        <v>151</v>
      </c>
      <c r="D41" s="9">
        <v>0.99</v>
      </c>
      <c r="E41" s="2" t="s">
        <v>156</v>
      </c>
      <c r="F41" s="2" t="s">
        <v>158</v>
      </c>
      <c r="G41" s="2">
        <v>66</v>
      </c>
      <c r="H41" s="2">
        <v>91</v>
      </c>
      <c r="I41" s="2">
        <v>66</v>
      </c>
      <c r="J41" s="2">
        <f t="shared" si="0"/>
        <v>223</v>
      </c>
      <c r="K41" s="2">
        <v>300</v>
      </c>
      <c r="L41" s="2">
        <f t="shared" si="1"/>
        <v>74.333333333333329</v>
      </c>
      <c r="M41" s="2" t="str">
        <f t="shared" si="2"/>
        <v>C</v>
      </c>
      <c r="N41" s="2" t="str">
        <f t="shared" si="3"/>
        <v>Pass</v>
      </c>
      <c r="O41" s="2">
        <f t="shared" si="4"/>
        <v>53</v>
      </c>
      <c r="P41" s="2">
        <f t="shared" si="5"/>
        <v>75.622710622710628</v>
      </c>
    </row>
    <row r="42" spans="1:16" x14ac:dyDescent="0.3">
      <c r="A42" s="2" t="s">
        <v>56</v>
      </c>
      <c r="B42" s="2" t="s">
        <v>147</v>
      </c>
      <c r="C42" s="2" t="s">
        <v>150</v>
      </c>
      <c r="D42" s="9">
        <v>0.92</v>
      </c>
      <c r="E42" s="2" t="s">
        <v>154</v>
      </c>
      <c r="F42" s="2" t="s">
        <v>159</v>
      </c>
      <c r="G42" s="2">
        <v>74</v>
      </c>
      <c r="H42" s="2">
        <v>83</v>
      </c>
      <c r="I42" s="2">
        <v>59</v>
      </c>
      <c r="J42" s="2">
        <f t="shared" si="0"/>
        <v>216</v>
      </c>
      <c r="K42" s="2">
        <v>300</v>
      </c>
      <c r="L42" s="2">
        <f t="shared" si="1"/>
        <v>72</v>
      </c>
      <c r="M42" s="2" t="str">
        <f t="shared" si="2"/>
        <v>C</v>
      </c>
      <c r="N42" s="2" t="str">
        <f t="shared" si="3"/>
        <v>Pass</v>
      </c>
      <c r="O42" s="2">
        <f t="shared" si="4"/>
        <v>59</v>
      </c>
      <c r="P42" s="2">
        <f t="shared" si="5"/>
        <v>75.637037037037032</v>
      </c>
    </row>
    <row r="43" spans="1:16" x14ac:dyDescent="0.3">
      <c r="A43" s="2" t="s">
        <v>57</v>
      </c>
      <c r="B43" s="2" t="s">
        <v>147</v>
      </c>
      <c r="C43" s="2" t="s">
        <v>149</v>
      </c>
      <c r="D43" s="9">
        <v>0.86</v>
      </c>
      <c r="E43" s="2" t="s">
        <v>155</v>
      </c>
      <c r="F43" s="2" t="s">
        <v>159</v>
      </c>
      <c r="G43" s="2">
        <v>59</v>
      </c>
      <c r="H43" s="2">
        <v>88</v>
      </c>
      <c r="I43" s="2">
        <v>66</v>
      </c>
      <c r="J43" s="2">
        <f t="shared" si="0"/>
        <v>213</v>
      </c>
      <c r="K43" s="2">
        <v>300</v>
      </c>
      <c r="L43" s="2">
        <f t="shared" si="1"/>
        <v>71</v>
      </c>
      <c r="M43" s="2" t="str">
        <f t="shared" si="2"/>
        <v>C</v>
      </c>
      <c r="N43" s="2" t="str">
        <f t="shared" si="3"/>
        <v>Pass</v>
      </c>
      <c r="O43" s="2">
        <f t="shared" si="4"/>
        <v>63</v>
      </c>
      <c r="P43" s="2">
        <f t="shared" si="5"/>
        <v>75.677902621722836</v>
      </c>
    </row>
    <row r="44" spans="1:16" x14ac:dyDescent="0.3">
      <c r="A44" s="2" t="s">
        <v>58</v>
      </c>
      <c r="B44" s="2" t="s">
        <v>147</v>
      </c>
      <c r="C44" s="2" t="s">
        <v>148</v>
      </c>
      <c r="D44" s="9">
        <v>0.77</v>
      </c>
      <c r="E44" s="2" t="s">
        <v>153</v>
      </c>
      <c r="F44" s="2" t="s">
        <v>159</v>
      </c>
      <c r="G44" s="2">
        <v>79</v>
      </c>
      <c r="H44" s="2">
        <v>71</v>
      </c>
      <c r="I44" s="2">
        <v>74</v>
      </c>
      <c r="J44" s="2">
        <f t="shared" si="0"/>
        <v>224</v>
      </c>
      <c r="K44" s="2">
        <v>300</v>
      </c>
      <c r="L44" s="2">
        <f t="shared" si="1"/>
        <v>74.666666666666671</v>
      </c>
      <c r="M44" s="2" t="str">
        <f t="shared" si="2"/>
        <v>C</v>
      </c>
      <c r="N44" s="2" t="str">
        <f t="shared" si="3"/>
        <v>Pass</v>
      </c>
      <c r="O44" s="2">
        <f t="shared" si="4"/>
        <v>51</v>
      </c>
      <c r="P44" s="2">
        <f t="shared" si="5"/>
        <v>75.731060606060609</v>
      </c>
    </row>
    <row r="45" spans="1:16" x14ac:dyDescent="0.3">
      <c r="A45" s="2" t="s">
        <v>59</v>
      </c>
      <c r="B45" s="2" t="s">
        <v>147</v>
      </c>
      <c r="C45" s="2" t="s">
        <v>152</v>
      </c>
      <c r="D45" s="9">
        <v>0.6</v>
      </c>
      <c r="E45" s="2" t="s">
        <v>156</v>
      </c>
      <c r="F45" s="2" t="s">
        <v>158</v>
      </c>
      <c r="G45" s="2">
        <v>66</v>
      </c>
      <c r="H45" s="2">
        <v>79</v>
      </c>
      <c r="I45" s="2">
        <v>59</v>
      </c>
      <c r="J45" s="2">
        <f t="shared" si="0"/>
        <v>204</v>
      </c>
      <c r="K45" s="2">
        <v>300</v>
      </c>
      <c r="L45" s="2">
        <f t="shared" si="1"/>
        <v>68</v>
      </c>
      <c r="M45" s="2" t="str">
        <f t="shared" si="2"/>
        <v>D</v>
      </c>
      <c r="N45" s="2" t="str">
        <f t="shared" si="3"/>
        <v>Pass</v>
      </c>
      <c r="O45" s="2">
        <f t="shared" si="4"/>
        <v>74</v>
      </c>
      <c r="P45" s="2">
        <f t="shared" si="5"/>
        <v>75.743295019157088</v>
      </c>
    </row>
    <row r="46" spans="1:16" x14ac:dyDescent="0.3">
      <c r="A46" s="2" t="s">
        <v>60</v>
      </c>
      <c r="B46" s="2" t="s">
        <v>146</v>
      </c>
      <c r="C46" s="2" t="s">
        <v>151</v>
      </c>
      <c r="D46" s="9">
        <v>0.73</v>
      </c>
      <c r="E46" s="2" t="s">
        <v>155</v>
      </c>
      <c r="F46" s="2" t="s">
        <v>159</v>
      </c>
      <c r="G46" s="2">
        <v>77</v>
      </c>
      <c r="H46" s="2">
        <v>59</v>
      </c>
      <c r="I46" s="2">
        <v>79</v>
      </c>
      <c r="J46" s="2">
        <f t="shared" si="0"/>
        <v>215</v>
      </c>
      <c r="K46" s="2">
        <v>300</v>
      </c>
      <c r="L46" s="2">
        <f t="shared" si="1"/>
        <v>71.666666666666671</v>
      </c>
      <c r="M46" s="2" t="str">
        <f t="shared" si="2"/>
        <v>C</v>
      </c>
      <c r="N46" s="2" t="str">
        <f t="shared" si="3"/>
        <v>Pass</v>
      </c>
      <c r="O46" s="2">
        <f t="shared" si="4"/>
        <v>58</v>
      </c>
      <c r="P46" s="2">
        <f t="shared" si="5"/>
        <v>75.833333333333314</v>
      </c>
    </row>
    <row r="47" spans="1:16" x14ac:dyDescent="0.3">
      <c r="A47" s="2" t="s">
        <v>61</v>
      </c>
      <c r="B47" s="2" t="s">
        <v>146</v>
      </c>
      <c r="C47" s="2" t="s">
        <v>150</v>
      </c>
      <c r="D47" s="9">
        <v>0.89</v>
      </c>
      <c r="E47" s="2" t="s">
        <v>153</v>
      </c>
      <c r="F47" s="2" t="s">
        <v>159</v>
      </c>
      <c r="G47" s="2">
        <v>80</v>
      </c>
      <c r="H47" s="2">
        <v>60</v>
      </c>
      <c r="I47" s="2">
        <v>66</v>
      </c>
      <c r="J47" s="2">
        <f t="shared" si="0"/>
        <v>206</v>
      </c>
      <c r="K47" s="2">
        <v>300</v>
      </c>
      <c r="L47" s="2">
        <f t="shared" si="1"/>
        <v>68.666666666666671</v>
      </c>
      <c r="M47" s="2" t="str">
        <f t="shared" si="2"/>
        <v>D</v>
      </c>
      <c r="N47" s="2" t="str">
        <f t="shared" si="3"/>
        <v>Pass</v>
      </c>
      <c r="O47" s="2">
        <f t="shared" si="4"/>
        <v>72</v>
      </c>
      <c r="P47" s="2">
        <f t="shared" si="5"/>
        <v>75.88235294117645</v>
      </c>
    </row>
    <row r="48" spans="1:16" x14ac:dyDescent="0.3">
      <c r="A48" s="2" t="s">
        <v>62</v>
      </c>
      <c r="B48" s="2" t="s">
        <v>146</v>
      </c>
      <c r="C48" s="2" t="s">
        <v>152</v>
      </c>
      <c r="D48" s="9">
        <v>0.59</v>
      </c>
      <c r="E48" s="2" t="s">
        <v>154</v>
      </c>
      <c r="F48" s="2" t="s">
        <v>158</v>
      </c>
      <c r="G48" s="2">
        <v>73</v>
      </c>
      <c r="H48" s="2">
        <v>77</v>
      </c>
      <c r="I48" s="2">
        <v>97</v>
      </c>
      <c r="J48" s="2">
        <f t="shared" si="0"/>
        <v>247</v>
      </c>
      <c r="K48" s="2">
        <v>300</v>
      </c>
      <c r="L48" s="2">
        <f t="shared" si="1"/>
        <v>82.333333333333343</v>
      </c>
      <c r="M48" s="2" t="str">
        <f t="shared" si="2"/>
        <v>B</v>
      </c>
      <c r="N48" s="2" t="str">
        <f t="shared" si="3"/>
        <v>Pass</v>
      </c>
      <c r="O48" s="2">
        <f t="shared" si="4"/>
        <v>19</v>
      </c>
      <c r="P48" s="2">
        <f t="shared" si="5"/>
        <v>75.968253968253947</v>
      </c>
    </row>
    <row r="49" spans="1:16" x14ac:dyDescent="0.3">
      <c r="A49" s="2" t="s">
        <v>63</v>
      </c>
      <c r="B49" s="2" t="s">
        <v>146</v>
      </c>
      <c r="C49" s="2" t="s">
        <v>149</v>
      </c>
      <c r="D49" s="9">
        <v>0.5</v>
      </c>
      <c r="E49" s="2" t="s">
        <v>156</v>
      </c>
      <c r="F49" s="2" t="s">
        <v>159</v>
      </c>
      <c r="G49" s="2">
        <v>84</v>
      </c>
      <c r="H49" s="2">
        <v>87</v>
      </c>
      <c r="I49" s="2">
        <v>89</v>
      </c>
      <c r="J49" s="2">
        <f t="shared" si="0"/>
        <v>260</v>
      </c>
      <c r="K49" s="2">
        <v>300</v>
      </c>
      <c r="L49" s="2">
        <f t="shared" si="1"/>
        <v>86.666666666666671</v>
      </c>
      <c r="M49" s="2" t="str">
        <f t="shared" si="2"/>
        <v>B</v>
      </c>
      <c r="N49" s="2" t="str">
        <f t="shared" si="3"/>
        <v>Pass</v>
      </c>
      <c r="O49" s="2">
        <f t="shared" si="4"/>
        <v>3</v>
      </c>
      <c r="P49" s="2">
        <f t="shared" si="5"/>
        <v>75.891566265060234</v>
      </c>
    </row>
    <row r="50" spans="1:16" x14ac:dyDescent="0.3">
      <c r="A50" s="2" t="s">
        <v>64</v>
      </c>
      <c r="B50" s="2" t="s">
        <v>146</v>
      </c>
      <c r="C50" s="2" t="s">
        <v>148</v>
      </c>
      <c r="D50" s="9">
        <v>0.64</v>
      </c>
      <c r="E50" s="2" t="s">
        <v>155</v>
      </c>
      <c r="F50" s="2" t="s">
        <v>159</v>
      </c>
      <c r="G50" s="2">
        <v>97</v>
      </c>
      <c r="H50" s="2">
        <v>91</v>
      </c>
      <c r="I50" s="2">
        <v>99</v>
      </c>
      <c r="J50" s="2">
        <f t="shared" si="0"/>
        <v>287</v>
      </c>
      <c r="K50" s="2">
        <v>300</v>
      </c>
      <c r="L50" s="2">
        <f t="shared" si="1"/>
        <v>95.666666666666671</v>
      </c>
      <c r="M50" s="2" t="str">
        <f t="shared" si="2"/>
        <v>A</v>
      </c>
      <c r="N50" s="2" t="str">
        <f t="shared" si="3"/>
        <v>Pass</v>
      </c>
      <c r="O50" s="2">
        <f t="shared" si="4"/>
        <v>1</v>
      </c>
      <c r="P50" s="2">
        <f t="shared" si="5"/>
        <v>75.760162601626007</v>
      </c>
    </row>
    <row r="51" spans="1:16" x14ac:dyDescent="0.3">
      <c r="A51" s="2" t="s">
        <v>65</v>
      </c>
      <c r="B51" s="2" t="s">
        <v>147</v>
      </c>
      <c r="C51" s="2" t="s">
        <v>151</v>
      </c>
      <c r="D51" s="9">
        <v>0.78</v>
      </c>
      <c r="E51" s="2" t="s">
        <v>153</v>
      </c>
      <c r="F51" s="2" t="s">
        <v>158</v>
      </c>
      <c r="G51" s="2">
        <v>91</v>
      </c>
      <c r="H51" s="2">
        <v>70</v>
      </c>
      <c r="I51" s="2">
        <v>68</v>
      </c>
      <c r="J51" s="2">
        <f t="shared" si="0"/>
        <v>229</v>
      </c>
      <c r="K51" s="2">
        <v>300</v>
      </c>
      <c r="L51" s="2">
        <f t="shared" si="1"/>
        <v>76.333333333333329</v>
      </c>
      <c r="M51" s="2" t="str">
        <f t="shared" si="2"/>
        <v>C</v>
      </c>
      <c r="N51" s="2" t="str">
        <f t="shared" si="3"/>
        <v>Pass</v>
      </c>
      <c r="O51" s="2">
        <f t="shared" si="4"/>
        <v>42</v>
      </c>
      <c r="P51" s="2">
        <f t="shared" si="5"/>
        <v>75.514403292181058</v>
      </c>
    </row>
    <row r="52" spans="1:16" x14ac:dyDescent="0.3">
      <c r="A52" s="2" t="s">
        <v>66</v>
      </c>
      <c r="B52" s="2" t="s">
        <v>147</v>
      </c>
      <c r="C52" s="2" t="s">
        <v>152</v>
      </c>
      <c r="D52" s="9">
        <v>0.43</v>
      </c>
      <c r="E52" s="2" t="s">
        <v>154</v>
      </c>
      <c r="F52" s="2" t="s">
        <v>159</v>
      </c>
      <c r="G52" s="2">
        <v>83</v>
      </c>
      <c r="H52" s="2">
        <v>70</v>
      </c>
      <c r="I52" s="2">
        <v>73</v>
      </c>
      <c r="J52" s="2">
        <f t="shared" si="0"/>
        <v>226</v>
      </c>
      <c r="K52" s="2">
        <v>300</v>
      </c>
      <c r="L52" s="2">
        <f t="shared" si="1"/>
        <v>75.333333333333329</v>
      </c>
      <c r="M52" s="2" t="str">
        <f t="shared" si="2"/>
        <v>C</v>
      </c>
      <c r="N52" s="2" t="str">
        <f t="shared" si="3"/>
        <v>Pass</v>
      </c>
      <c r="O52" s="2">
        <f t="shared" si="4"/>
        <v>43</v>
      </c>
      <c r="P52" s="2">
        <f t="shared" si="5"/>
        <v>75.504166666666649</v>
      </c>
    </row>
    <row r="53" spans="1:16" x14ac:dyDescent="0.3">
      <c r="A53" s="2" t="s">
        <v>67</v>
      </c>
      <c r="B53" s="2" t="s">
        <v>147</v>
      </c>
      <c r="C53" s="2" t="s">
        <v>149</v>
      </c>
      <c r="D53" s="9">
        <v>0.76</v>
      </c>
      <c r="E53" s="2" t="s">
        <v>156</v>
      </c>
      <c r="F53" s="2" t="s">
        <v>158</v>
      </c>
      <c r="G53" s="2">
        <v>88</v>
      </c>
      <c r="H53" s="2">
        <v>80</v>
      </c>
      <c r="I53" s="2">
        <v>52</v>
      </c>
      <c r="J53" s="2">
        <f t="shared" si="0"/>
        <v>220</v>
      </c>
      <c r="K53" s="2">
        <v>300</v>
      </c>
      <c r="L53" s="2">
        <f t="shared" si="1"/>
        <v>73.333333333333329</v>
      </c>
      <c r="M53" s="2" t="str">
        <f t="shared" si="2"/>
        <v>C</v>
      </c>
      <c r="N53" s="2" t="str">
        <f t="shared" si="3"/>
        <v>Pass</v>
      </c>
      <c r="O53" s="2">
        <f t="shared" si="4"/>
        <v>49</v>
      </c>
      <c r="P53" s="2">
        <f t="shared" si="5"/>
        <v>75.506329113924025</v>
      </c>
    </row>
    <row r="54" spans="1:16" x14ac:dyDescent="0.3">
      <c r="A54" s="2" t="s">
        <v>68</v>
      </c>
      <c r="B54" s="2" t="s">
        <v>146</v>
      </c>
      <c r="C54" s="2" t="s">
        <v>150</v>
      </c>
      <c r="D54" s="9">
        <v>0.8</v>
      </c>
      <c r="E54" s="2" t="s">
        <v>153</v>
      </c>
      <c r="F54" s="2" t="s">
        <v>159</v>
      </c>
      <c r="G54" s="2">
        <v>71</v>
      </c>
      <c r="H54" s="2">
        <v>95</v>
      </c>
      <c r="I54" s="2">
        <v>69</v>
      </c>
      <c r="J54" s="2">
        <f t="shared" si="0"/>
        <v>235</v>
      </c>
      <c r="K54" s="2">
        <v>300</v>
      </c>
      <c r="L54" s="2">
        <f t="shared" si="1"/>
        <v>78.333333333333329</v>
      </c>
      <c r="M54" s="2" t="str">
        <f t="shared" si="2"/>
        <v>C</v>
      </c>
      <c r="N54" s="2" t="str">
        <f t="shared" si="3"/>
        <v>Pass</v>
      </c>
      <c r="O54" s="2">
        <f t="shared" si="4"/>
        <v>32</v>
      </c>
      <c r="P54" s="2">
        <f t="shared" si="5"/>
        <v>75.53418803418802</v>
      </c>
    </row>
    <row r="55" spans="1:16" x14ac:dyDescent="0.3">
      <c r="A55" s="2" t="s">
        <v>69</v>
      </c>
      <c r="B55" s="2" t="s">
        <v>146</v>
      </c>
      <c r="C55" s="2" t="s">
        <v>148</v>
      </c>
      <c r="D55" s="9">
        <v>0.95</v>
      </c>
      <c r="E55" s="2" t="s">
        <v>154</v>
      </c>
      <c r="F55" s="2" t="s">
        <v>158</v>
      </c>
      <c r="G55" s="2">
        <v>79</v>
      </c>
      <c r="H55" s="2">
        <v>92</v>
      </c>
      <c r="I55" s="2">
        <v>77</v>
      </c>
      <c r="J55" s="2">
        <f t="shared" si="0"/>
        <v>248</v>
      </c>
      <c r="K55" s="2">
        <v>300</v>
      </c>
      <c r="L55" s="2">
        <f t="shared" si="1"/>
        <v>82.666666666666671</v>
      </c>
      <c r="M55" s="2" t="str">
        <f t="shared" si="2"/>
        <v>B</v>
      </c>
      <c r="N55" s="2" t="str">
        <f t="shared" si="3"/>
        <v>Pass</v>
      </c>
      <c r="O55" s="2">
        <f t="shared" si="4"/>
        <v>15</v>
      </c>
      <c r="P55" s="2">
        <f t="shared" si="5"/>
        <v>75.497835497835482</v>
      </c>
    </row>
    <row r="56" spans="1:16" x14ac:dyDescent="0.3">
      <c r="A56" s="2" t="s">
        <v>70</v>
      </c>
      <c r="B56" s="2" t="s">
        <v>147</v>
      </c>
      <c r="C56" s="2" t="s">
        <v>152</v>
      </c>
      <c r="D56" s="9">
        <v>0.4</v>
      </c>
      <c r="E56" s="2" t="s">
        <v>156</v>
      </c>
      <c r="F56" s="2" t="s">
        <v>159</v>
      </c>
      <c r="G56" s="2">
        <v>59</v>
      </c>
      <c r="H56" s="2">
        <v>83</v>
      </c>
      <c r="I56" s="2">
        <v>88</v>
      </c>
      <c r="J56" s="2">
        <f t="shared" si="0"/>
        <v>230</v>
      </c>
      <c r="K56" s="2">
        <v>300</v>
      </c>
      <c r="L56" s="2">
        <f t="shared" si="1"/>
        <v>76.666666666666671</v>
      </c>
      <c r="M56" s="2" t="str">
        <f t="shared" si="2"/>
        <v>C</v>
      </c>
      <c r="N56" s="2" t="str">
        <f t="shared" si="3"/>
        <v>Pass</v>
      </c>
      <c r="O56" s="2">
        <f t="shared" si="4"/>
        <v>36</v>
      </c>
      <c r="P56" s="2">
        <f t="shared" si="5"/>
        <v>75.403508771929808</v>
      </c>
    </row>
    <row r="57" spans="1:16" x14ac:dyDescent="0.3">
      <c r="A57" s="2" t="s">
        <v>71</v>
      </c>
      <c r="B57" s="2" t="s">
        <v>146</v>
      </c>
      <c r="C57" s="2" t="s">
        <v>151</v>
      </c>
      <c r="D57" s="9">
        <v>0.62</v>
      </c>
      <c r="E57" s="2" t="s">
        <v>155</v>
      </c>
      <c r="F57" s="2" t="s">
        <v>158</v>
      </c>
      <c r="G57" s="2">
        <v>60</v>
      </c>
      <c r="H57" s="2">
        <v>59</v>
      </c>
      <c r="I57" s="2">
        <v>92</v>
      </c>
      <c r="J57" s="2">
        <f t="shared" si="0"/>
        <v>211</v>
      </c>
      <c r="K57" s="2">
        <v>300</v>
      </c>
      <c r="L57" s="2">
        <f t="shared" si="1"/>
        <v>70.333333333333343</v>
      </c>
      <c r="M57" s="2" t="str">
        <f t="shared" si="2"/>
        <v>C</v>
      </c>
      <c r="N57" s="2" t="str">
        <f t="shared" si="3"/>
        <v>Pass</v>
      </c>
      <c r="O57" s="2">
        <f t="shared" si="4"/>
        <v>56</v>
      </c>
      <c r="P57" s="2">
        <f t="shared" si="5"/>
        <v>75.386666666666642</v>
      </c>
    </row>
    <row r="58" spans="1:16" x14ac:dyDescent="0.3">
      <c r="A58" s="2" t="s">
        <v>72</v>
      </c>
      <c r="B58" s="2" t="s">
        <v>146</v>
      </c>
      <c r="C58" s="2" t="s">
        <v>152</v>
      </c>
      <c r="D58" s="9">
        <v>0.88</v>
      </c>
      <c r="E58" s="2" t="s">
        <v>154</v>
      </c>
      <c r="F58" s="2" t="s">
        <v>159</v>
      </c>
      <c r="G58" s="2">
        <v>64</v>
      </c>
      <c r="H58" s="2">
        <v>66</v>
      </c>
      <c r="I58" s="2">
        <v>94</v>
      </c>
      <c r="J58" s="2">
        <f t="shared" si="0"/>
        <v>224</v>
      </c>
      <c r="K58" s="2">
        <v>300</v>
      </c>
      <c r="L58" s="2">
        <f t="shared" si="1"/>
        <v>74.666666666666671</v>
      </c>
      <c r="M58" s="2" t="str">
        <f t="shared" si="2"/>
        <v>C</v>
      </c>
      <c r="N58" s="2" t="str">
        <f t="shared" si="3"/>
        <v>Pass</v>
      </c>
      <c r="O58" s="2">
        <f t="shared" si="4"/>
        <v>43</v>
      </c>
      <c r="P58" s="2">
        <f t="shared" si="5"/>
        <v>75.454954954954928</v>
      </c>
    </row>
    <row r="59" spans="1:16" x14ac:dyDescent="0.3">
      <c r="A59" s="2" t="s">
        <v>73</v>
      </c>
      <c r="B59" s="2" t="s">
        <v>147</v>
      </c>
      <c r="C59" s="2" t="s">
        <v>149</v>
      </c>
      <c r="D59" s="9">
        <v>0.99</v>
      </c>
      <c r="E59" s="2" t="s">
        <v>156</v>
      </c>
      <c r="F59" s="2" t="s">
        <v>158</v>
      </c>
      <c r="G59" s="2">
        <v>85</v>
      </c>
      <c r="H59" s="2">
        <v>74</v>
      </c>
      <c r="I59" s="2">
        <v>60</v>
      </c>
      <c r="J59" s="2">
        <f t="shared" si="0"/>
        <v>219</v>
      </c>
      <c r="K59" s="2">
        <v>300</v>
      </c>
      <c r="L59" s="2">
        <f t="shared" si="1"/>
        <v>73</v>
      </c>
      <c r="M59" s="2" t="str">
        <f t="shared" si="2"/>
        <v>C</v>
      </c>
      <c r="N59" s="2" t="str">
        <f t="shared" si="3"/>
        <v>Pass</v>
      </c>
      <c r="O59" s="2">
        <f t="shared" si="4"/>
        <v>46</v>
      </c>
      <c r="P59" s="2">
        <f t="shared" si="5"/>
        <v>75.465753424657507</v>
      </c>
    </row>
    <row r="60" spans="1:16" x14ac:dyDescent="0.3">
      <c r="A60" s="2" t="s">
        <v>74</v>
      </c>
      <c r="B60" s="2" t="s">
        <v>147</v>
      </c>
      <c r="C60" s="2" t="s">
        <v>148</v>
      </c>
      <c r="D60" s="9">
        <v>0.32</v>
      </c>
      <c r="E60" s="2" t="s">
        <v>153</v>
      </c>
      <c r="F60" s="2" t="s">
        <v>159</v>
      </c>
      <c r="G60" s="2">
        <v>88</v>
      </c>
      <c r="H60" s="2">
        <v>66</v>
      </c>
      <c r="I60" s="2">
        <v>96</v>
      </c>
      <c r="J60" s="2">
        <f t="shared" si="0"/>
        <v>250</v>
      </c>
      <c r="K60" s="2">
        <v>300</v>
      </c>
      <c r="L60" s="2">
        <f t="shared" si="1"/>
        <v>83.333333333333343</v>
      </c>
      <c r="M60" s="2" t="str">
        <f t="shared" si="2"/>
        <v>B</v>
      </c>
      <c r="N60" s="2" t="str">
        <f t="shared" si="3"/>
        <v>Pass</v>
      </c>
      <c r="O60" s="2">
        <f t="shared" si="4"/>
        <v>13</v>
      </c>
      <c r="P60" s="2">
        <f t="shared" si="5"/>
        <v>75.499999999999972</v>
      </c>
    </row>
    <row r="61" spans="1:16" x14ac:dyDescent="0.3">
      <c r="A61" s="2" t="s">
        <v>75</v>
      </c>
      <c r="B61" s="2" t="s">
        <v>147</v>
      </c>
      <c r="C61" s="2" t="s">
        <v>150</v>
      </c>
      <c r="D61" s="9">
        <v>0.74</v>
      </c>
      <c r="E61" s="2" t="s">
        <v>154</v>
      </c>
      <c r="F61" s="2" t="s">
        <v>158</v>
      </c>
      <c r="G61" s="2">
        <v>89</v>
      </c>
      <c r="H61" s="2">
        <v>74</v>
      </c>
      <c r="I61" s="2">
        <v>80</v>
      </c>
      <c r="J61" s="2">
        <f t="shared" si="0"/>
        <v>243</v>
      </c>
      <c r="K61" s="2">
        <v>300</v>
      </c>
      <c r="L61" s="2">
        <f t="shared" si="1"/>
        <v>81</v>
      </c>
      <c r="M61" s="2" t="str">
        <f t="shared" si="2"/>
        <v>B</v>
      </c>
      <c r="N61" s="2" t="str">
        <f t="shared" si="3"/>
        <v>Pass</v>
      </c>
      <c r="O61" s="2">
        <f t="shared" si="4"/>
        <v>20</v>
      </c>
      <c r="P61" s="2">
        <f t="shared" si="5"/>
        <v>75.389671361502309</v>
      </c>
    </row>
    <row r="62" spans="1:16" x14ac:dyDescent="0.3">
      <c r="A62" s="2" t="s">
        <v>76</v>
      </c>
      <c r="B62" s="2" t="s">
        <v>147</v>
      </c>
      <c r="C62" s="2" t="s">
        <v>152</v>
      </c>
      <c r="D62" s="9">
        <v>0.78</v>
      </c>
      <c r="E62" s="2" t="s">
        <v>156</v>
      </c>
      <c r="F62" s="2" t="s">
        <v>158</v>
      </c>
      <c r="G62" s="2">
        <v>99</v>
      </c>
      <c r="H62" s="2">
        <v>59</v>
      </c>
      <c r="I62" s="2">
        <v>79</v>
      </c>
      <c r="J62" s="2">
        <f t="shared" si="0"/>
        <v>237</v>
      </c>
      <c r="K62" s="2">
        <v>300</v>
      </c>
      <c r="L62" s="2">
        <f t="shared" si="1"/>
        <v>79</v>
      </c>
      <c r="M62" s="2" t="str">
        <f t="shared" si="2"/>
        <v>C</v>
      </c>
      <c r="N62" s="2" t="str">
        <f t="shared" si="3"/>
        <v>Pass</v>
      </c>
      <c r="O62" s="2">
        <f t="shared" si="4"/>
        <v>24</v>
      </c>
      <c r="P62" s="2">
        <f t="shared" si="5"/>
        <v>75.309523809523782</v>
      </c>
    </row>
    <row r="63" spans="1:16" x14ac:dyDescent="0.3">
      <c r="A63" s="2" t="s">
        <v>77</v>
      </c>
      <c r="B63" s="2" t="s">
        <v>146</v>
      </c>
      <c r="C63" s="2" t="s">
        <v>151</v>
      </c>
      <c r="D63" s="9">
        <v>0.64</v>
      </c>
      <c r="E63" s="2" t="s">
        <v>157</v>
      </c>
      <c r="F63" s="2" t="s">
        <v>158</v>
      </c>
      <c r="G63" s="2">
        <v>60</v>
      </c>
      <c r="H63" s="2">
        <v>79</v>
      </c>
      <c r="I63" s="2">
        <v>72</v>
      </c>
      <c r="J63" s="2">
        <f t="shared" si="0"/>
        <v>211</v>
      </c>
      <c r="K63" s="2">
        <v>300</v>
      </c>
      <c r="L63" s="2">
        <f t="shared" si="1"/>
        <v>70.333333333333343</v>
      </c>
      <c r="M63" s="2" t="str">
        <f t="shared" si="2"/>
        <v>C</v>
      </c>
      <c r="N63" s="2" t="str">
        <f t="shared" si="3"/>
        <v>Pass</v>
      </c>
      <c r="O63" s="2">
        <f t="shared" si="4"/>
        <v>51</v>
      </c>
      <c r="P63" s="2">
        <f t="shared" si="5"/>
        <v>75.256038647342962</v>
      </c>
    </row>
    <row r="64" spans="1:16" x14ac:dyDescent="0.3">
      <c r="A64" s="2" t="s">
        <v>78</v>
      </c>
      <c r="B64" s="2" t="s">
        <v>146</v>
      </c>
      <c r="C64" s="2" t="s">
        <v>150</v>
      </c>
      <c r="D64" s="9">
        <v>0.22</v>
      </c>
      <c r="E64" s="2" t="s">
        <v>153</v>
      </c>
      <c r="F64" s="2" t="s">
        <v>158</v>
      </c>
      <c r="G64" s="2">
        <v>72</v>
      </c>
      <c r="H64" s="2">
        <v>66</v>
      </c>
      <c r="I64" s="2">
        <v>99</v>
      </c>
      <c r="J64" s="2">
        <f t="shared" si="0"/>
        <v>237</v>
      </c>
      <c r="K64" s="2">
        <v>300</v>
      </c>
      <c r="L64" s="2">
        <f t="shared" si="1"/>
        <v>79</v>
      </c>
      <c r="M64" s="2" t="str">
        <f t="shared" si="2"/>
        <v>C</v>
      </c>
      <c r="N64" s="2" t="str">
        <f t="shared" si="3"/>
        <v>Pass</v>
      </c>
      <c r="O64" s="2">
        <f t="shared" si="4"/>
        <v>24</v>
      </c>
      <c r="P64" s="2">
        <f t="shared" si="5"/>
        <v>75.328431372548991</v>
      </c>
    </row>
    <row r="65" spans="1:16" x14ac:dyDescent="0.3">
      <c r="A65" s="2" t="s">
        <v>79</v>
      </c>
      <c r="B65" s="2" t="s">
        <v>146</v>
      </c>
      <c r="C65" s="2" t="s">
        <v>148</v>
      </c>
      <c r="D65" s="9">
        <v>0.74</v>
      </c>
      <c r="E65" s="2" t="s">
        <v>156</v>
      </c>
      <c r="F65" s="2" t="s">
        <v>159</v>
      </c>
      <c r="G65" s="2">
        <v>58</v>
      </c>
      <c r="H65" s="2">
        <v>91</v>
      </c>
      <c r="I65" s="2">
        <v>66</v>
      </c>
      <c r="J65" s="2">
        <f t="shared" si="0"/>
        <v>215</v>
      </c>
      <c r="K65" s="2">
        <v>300</v>
      </c>
      <c r="L65" s="2">
        <f t="shared" si="1"/>
        <v>71.666666666666671</v>
      </c>
      <c r="M65" s="2" t="str">
        <f t="shared" si="2"/>
        <v>C</v>
      </c>
      <c r="N65" s="2" t="str">
        <f t="shared" si="3"/>
        <v>Pass</v>
      </c>
      <c r="O65" s="2">
        <f t="shared" si="4"/>
        <v>43</v>
      </c>
      <c r="P65" s="2">
        <f t="shared" si="5"/>
        <v>75.273631840796</v>
      </c>
    </row>
    <row r="66" spans="1:16" x14ac:dyDescent="0.3">
      <c r="A66" s="2" t="s">
        <v>80</v>
      </c>
      <c r="B66" s="2" t="s">
        <v>147</v>
      </c>
      <c r="C66" s="2" t="s">
        <v>152</v>
      </c>
      <c r="D66" s="9">
        <v>0.8</v>
      </c>
      <c r="E66" s="2" t="s">
        <v>157</v>
      </c>
      <c r="F66" s="2" t="s">
        <v>159</v>
      </c>
      <c r="G66" s="2">
        <v>88</v>
      </c>
      <c r="H66" s="2">
        <v>70</v>
      </c>
      <c r="I66" s="2">
        <v>89</v>
      </c>
      <c r="J66" s="2">
        <f t="shared" si="0"/>
        <v>247</v>
      </c>
      <c r="K66" s="2">
        <v>300</v>
      </c>
      <c r="L66" s="2">
        <f t="shared" si="1"/>
        <v>82.333333333333343</v>
      </c>
      <c r="M66" s="2" t="str">
        <f t="shared" si="2"/>
        <v>B</v>
      </c>
      <c r="N66" s="2" t="str">
        <f t="shared" si="3"/>
        <v>Pass</v>
      </c>
      <c r="O66" s="2">
        <f t="shared" si="4"/>
        <v>15</v>
      </c>
      <c r="P66" s="2">
        <f t="shared" si="5"/>
        <v>75.328282828282823</v>
      </c>
    </row>
    <row r="67" spans="1:16" x14ac:dyDescent="0.3">
      <c r="A67" s="2" t="s">
        <v>81</v>
      </c>
      <c r="B67" s="2" t="s">
        <v>147</v>
      </c>
      <c r="C67" s="2" t="s">
        <v>151</v>
      </c>
      <c r="D67" s="9">
        <v>0.55000000000000004</v>
      </c>
      <c r="E67" s="2" t="s">
        <v>155</v>
      </c>
      <c r="F67" s="2" t="s">
        <v>158</v>
      </c>
      <c r="G67" s="2">
        <v>79</v>
      </c>
      <c r="H67" s="2">
        <v>70</v>
      </c>
      <c r="I67" s="2">
        <v>62</v>
      </c>
      <c r="J67" s="2">
        <f t="shared" ref="J67:J130" si="6">SUM(G67:I67)</f>
        <v>211</v>
      </c>
      <c r="K67" s="2">
        <v>300</v>
      </c>
      <c r="L67" s="2">
        <f t="shared" ref="L67:L130" si="7">SUM(J67/K67*100)</f>
        <v>70.333333333333343</v>
      </c>
      <c r="M67" s="2" t="str">
        <f t="shared" ref="M67:M130" si="8">IF(L67&gt;90,"A", IF(L67&gt;80,"B", IF(L67&gt;70,"C", IF(L67&gt;60,"D", IF(L67&gt;40,"F")))))</f>
        <v>C</v>
      </c>
      <c r="N67" s="2" t="str">
        <f t="shared" ref="N67:N130" si="9">IF(L67&gt;60, "Pass", "Fail")</f>
        <v>Pass</v>
      </c>
      <c r="O67" s="2">
        <f t="shared" ref="O67:O130" si="10">RANK(L67,L67:L196,0)</f>
        <v>48</v>
      </c>
      <c r="P67" s="2">
        <f t="shared" ref="P67:P130" si="11">AVERAGE(L67:L196)</f>
        <v>75.220512820512795</v>
      </c>
    </row>
    <row r="68" spans="1:16" x14ac:dyDescent="0.3">
      <c r="A68" s="2" t="s">
        <v>82</v>
      </c>
      <c r="B68" s="2" t="s">
        <v>146</v>
      </c>
      <c r="C68" s="2" t="s">
        <v>149</v>
      </c>
      <c r="D68" s="9">
        <v>0.43</v>
      </c>
      <c r="E68" s="2" t="s">
        <v>153</v>
      </c>
      <c r="F68" s="2" t="s">
        <v>158</v>
      </c>
      <c r="G68" s="2">
        <v>68</v>
      </c>
      <c r="H68" s="2">
        <v>80</v>
      </c>
      <c r="I68" s="2">
        <v>56</v>
      </c>
      <c r="J68" s="2">
        <f t="shared" si="6"/>
        <v>204</v>
      </c>
      <c r="K68" s="2">
        <v>300</v>
      </c>
      <c r="L68" s="2">
        <f t="shared" si="7"/>
        <v>68</v>
      </c>
      <c r="M68" s="2" t="str">
        <f t="shared" si="8"/>
        <v>D</v>
      </c>
      <c r="N68" s="2" t="str">
        <f t="shared" si="9"/>
        <v>Pass</v>
      </c>
      <c r="O68" s="2">
        <f t="shared" si="10"/>
        <v>52</v>
      </c>
      <c r="P68" s="2">
        <f t="shared" si="11"/>
        <v>75.296874999999986</v>
      </c>
    </row>
    <row r="69" spans="1:16" x14ac:dyDescent="0.3">
      <c r="A69" s="2" t="s">
        <v>83</v>
      </c>
      <c r="B69" s="2" t="s">
        <v>147</v>
      </c>
      <c r="C69" s="2" t="s">
        <v>148</v>
      </c>
      <c r="D69" s="9">
        <v>0.61</v>
      </c>
      <c r="E69" s="2" t="s">
        <v>156</v>
      </c>
      <c r="F69" s="2" t="s">
        <v>159</v>
      </c>
      <c r="G69" s="2">
        <v>50</v>
      </c>
      <c r="H69" s="2">
        <v>95</v>
      </c>
      <c r="I69" s="2">
        <v>84</v>
      </c>
      <c r="J69" s="2">
        <f t="shared" si="6"/>
        <v>229</v>
      </c>
      <c r="K69" s="2">
        <v>300</v>
      </c>
      <c r="L69" s="2">
        <f t="shared" si="7"/>
        <v>76.333333333333329</v>
      </c>
      <c r="M69" s="2" t="str">
        <f t="shared" si="8"/>
        <v>C</v>
      </c>
      <c r="N69" s="2" t="str">
        <f t="shared" si="9"/>
        <v>Pass</v>
      </c>
      <c r="O69" s="2">
        <f t="shared" si="10"/>
        <v>34</v>
      </c>
      <c r="P69" s="2">
        <f t="shared" si="11"/>
        <v>75.412698412698404</v>
      </c>
    </row>
    <row r="70" spans="1:16" x14ac:dyDescent="0.3">
      <c r="A70" s="2" t="s">
        <v>84</v>
      </c>
      <c r="B70" s="2" t="s">
        <v>147</v>
      </c>
      <c r="C70" s="2" t="s">
        <v>152</v>
      </c>
      <c r="D70" s="9">
        <v>0.44</v>
      </c>
      <c r="E70" s="2" t="s">
        <v>154</v>
      </c>
      <c r="F70" s="2" t="s">
        <v>158</v>
      </c>
      <c r="G70" s="2">
        <v>80</v>
      </c>
      <c r="H70" s="2">
        <v>92</v>
      </c>
      <c r="I70" s="2">
        <v>86</v>
      </c>
      <c r="J70" s="2">
        <f t="shared" si="6"/>
        <v>258</v>
      </c>
      <c r="K70" s="2">
        <v>300</v>
      </c>
      <c r="L70" s="2">
        <f t="shared" si="7"/>
        <v>86</v>
      </c>
      <c r="M70" s="2" t="str">
        <f t="shared" si="8"/>
        <v>B</v>
      </c>
      <c r="N70" s="2" t="str">
        <f t="shared" si="9"/>
        <v>Pass</v>
      </c>
      <c r="O70" s="2">
        <f t="shared" si="10"/>
        <v>3</v>
      </c>
      <c r="P70" s="2">
        <f t="shared" si="11"/>
        <v>75.397849462365585</v>
      </c>
    </row>
    <row r="71" spans="1:16" x14ac:dyDescent="0.3">
      <c r="A71" s="2" t="s">
        <v>85</v>
      </c>
      <c r="B71" s="2" t="s">
        <v>146</v>
      </c>
      <c r="C71" s="2" t="s">
        <v>150</v>
      </c>
      <c r="D71" s="9">
        <v>0.39</v>
      </c>
      <c r="E71" s="2" t="s">
        <v>155</v>
      </c>
      <c r="F71" s="2" t="s">
        <v>158</v>
      </c>
      <c r="G71" s="2">
        <v>79</v>
      </c>
      <c r="H71" s="2">
        <v>83</v>
      </c>
      <c r="I71" s="2">
        <v>91</v>
      </c>
      <c r="J71" s="2">
        <f t="shared" si="6"/>
        <v>253</v>
      </c>
      <c r="K71" s="2">
        <v>300</v>
      </c>
      <c r="L71" s="2">
        <f t="shared" si="7"/>
        <v>84.333333333333343</v>
      </c>
      <c r="M71" s="2" t="str">
        <f t="shared" si="8"/>
        <v>B</v>
      </c>
      <c r="N71" s="2" t="str">
        <f t="shared" si="9"/>
        <v>Pass</v>
      </c>
      <c r="O71" s="2">
        <f t="shared" si="10"/>
        <v>8</v>
      </c>
      <c r="P71" s="2">
        <f t="shared" si="11"/>
        <v>75.224043715846989</v>
      </c>
    </row>
    <row r="72" spans="1:16" x14ac:dyDescent="0.3">
      <c r="A72" s="2" t="s">
        <v>86</v>
      </c>
      <c r="B72" s="2" t="s">
        <v>146</v>
      </c>
      <c r="C72" s="2" t="s">
        <v>151</v>
      </c>
      <c r="D72" s="9">
        <v>0.86</v>
      </c>
      <c r="E72" s="2" t="s">
        <v>153</v>
      </c>
      <c r="F72" s="2" t="s">
        <v>158</v>
      </c>
      <c r="G72" s="2">
        <v>83</v>
      </c>
      <c r="H72" s="2">
        <v>59</v>
      </c>
      <c r="I72" s="2">
        <v>70</v>
      </c>
      <c r="J72" s="2">
        <f t="shared" si="6"/>
        <v>212</v>
      </c>
      <c r="K72" s="2">
        <v>300</v>
      </c>
      <c r="L72" s="2">
        <f t="shared" si="7"/>
        <v>70.666666666666671</v>
      </c>
      <c r="M72" s="2" t="str">
        <f t="shared" si="8"/>
        <v>C</v>
      </c>
      <c r="N72" s="2" t="str">
        <f t="shared" si="9"/>
        <v>Pass</v>
      </c>
      <c r="O72" s="2">
        <f t="shared" si="10"/>
        <v>42</v>
      </c>
      <c r="P72" s="2">
        <f t="shared" si="11"/>
        <v>75.072222222222223</v>
      </c>
    </row>
    <row r="73" spans="1:16" x14ac:dyDescent="0.3">
      <c r="A73" s="2" t="s">
        <v>87</v>
      </c>
      <c r="B73" s="2" t="s">
        <v>147</v>
      </c>
      <c r="C73" s="2" t="s">
        <v>148</v>
      </c>
      <c r="D73" s="9">
        <v>0.79</v>
      </c>
      <c r="E73" s="2" t="s">
        <v>156</v>
      </c>
      <c r="F73" s="2" t="s">
        <v>159</v>
      </c>
      <c r="G73" s="2">
        <v>82</v>
      </c>
      <c r="H73" s="2">
        <v>66</v>
      </c>
      <c r="I73" s="2">
        <v>70</v>
      </c>
      <c r="J73" s="2">
        <f t="shared" si="6"/>
        <v>218</v>
      </c>
      <c r="K73" s="2">
        <v>300</v>
      </c>
      <c r="L73" s="2">
        <f t="shared" si="7"/>
        <v>72.666666666666671</v>
      </c>
      <c r="M73" s="2" t="str">
        <f t="shared" si="8"/>
        <v>C</v>
      </c>
      <c r="N73" s="2" t="str">
        <f t="shared" si="9"/>
        <v>Pass</v>
      </c>
      <c r="O73" s="2">
        <f t="shared" si="10"/>
        <v>38</v>
      </c>
      <c r="P73" s="2">
        <f t="shared" si="11"/>
        <v>75.146892655367239</v>
      </c>
    </row>
    <row r="74" spans="1:16" x14ac:dyDescent="0.3">
      <c r="A74" s="2" t="s">
        <v>88</v>
      </c>
      <c r="B74" s="2" t="s">
        <v>146</v>
      </c>
      <c r="C74" s="2" t="s">
        <v>149</v>
      </c>
      <c r="D74" s="9">
        <v>0.89</v>
      </c>
      <c r="E74" s="2" t="s">
        <v>155</v>
      </c>
      <c r="F74" s="2" t="s">
        <v>159</v>
      </c>
      <c r="G74" s="2">
        <v>91</v>
      </c>
      <c r="H74" s="2">
        <v>74</v>
      </c>
      <c r="I74" s="2">
        <v>80</v>
      </c>
      <c r="J74" s="2">
        <f t="shared" si="6"/>
        <v>245</v>
      </c>
      <c r="K74" s="2">
        <v>300</v>
      </c>
      <c r="L74" s="2">
        <f t="shared" si="7"/>
        <v>81.666666666666671</v>
      </c>
      <c r="M74" s="2" t="str">
        <f t="shared" si="8"/>
        <v>B</v>
      </c>
      <c r="N74" s="2" t="str">
        <f t="shared" si="9"/>
        <v>Pass</v>
      </c>
      <c r="O74" s="2">
        <f t="shared" si="10"/>
        <v>15</v>
      </c>
      <c r="P74" s="2">
        <f t="shared" si="11"/>
        <v>75.189655172413794</v>
      </c>
    </row>
    <row r="75" spans="1:16" x14ac:dyDescent="0.3">
      <c r="A75" s="2" t="s">
        <v>89</v>
      </c>
      <c r="B75" s="2" t="s">
        <v>147</v>
      </c>
      <c r="C75" s="2" t="s">
        <v>150</v>
      </c>
      <c r="D75" s="9">
        <v>0.9</v>
      </c>
      <c r="E75" s="2" t="s">
        <v>153</v>
      </c>
      <c r="F75" s="2" t="s">
        <v>159</v>
      </c>
      <c r="G75" s="2">
        <v>85</v>
      </c>
      <c r="H75" s="2">
        <v>73</v>
      </c>
      <c r="I75" s="2">
        <v>95</v>
      </c>
      <c r="J75" s="2">
        <f t="shared" si="6"/>
        <v>253</v>
      </c>
      <c r="K75" s="2">
        <v>300</v>
      </c>
      <c r="L75" s="2">
        <f t="shared" si="7"/>
        <v>84.333333333333343</v>
      </c>
      <c r="M75" s="2" t="str">
        <f t="shared" si="8"/>
        <v>B</v>
      </c>
      <c r="N75" s="2" t="str">
        <f t="shared" si="9"/>
        <v>Pass</v>
      </c>
      <c r="O75" s="2">
        <f t="shared" si="10"/>
        <v>8</v>
      </c>
      <c r="P75" s="2">
        <f t="shared" si="11"/>
        <v>75.076023391812853</v>
      </c>
    </row>
    <row r="76" spans="1:16" x14ac:dyDescent="0.3">
      <c r="A76" s="2" t="s">
        <v>90</v>
      </c>
      <c r="B76" s="2" t="s">
        <v>147</v>
      </c>
      <c r="C76" s="2" t="s">
        <v>149</v>
      </c>
      <c r="D76" s="9">
        <v>0.67</v>
      </c>
      <c r="E76" s="2" t="s">
        <v>154</v>
      </c>
      <c r="F76" s="2" t="s">
        <v>158</v>
      </c>
      <c r="G76" s="2">
        <v>79</v>
      </c>
      <c r="H76" s="2">
        <v>32</v>
      </c>
      <c r="I76" s="2">
        <v>92</v>
      </c>
      <c r="J76" s="2">
        <f t="shared" si="6"/>
        <v>203</v>
      </c>
      <c r="K76" s="2">
        <v>300</v>
      </c>
      <c r="L76" s="2">
        <f t="shared" si="7"/>
        <v>67.666666666666657</v>
      </c>
      <c r="M76" s="2" t="str">
        <f t="shared" si="8"/>
        <v>D</v>
      </c>
      <c r="N76" s="2" t="str">
        <f t="shared" si="9"/>
        <v>Pass</v>
      </c>
      <c r="O76" s="2">
        <f t="shared" si="10"/>
        <v>45</v>
      </c>
      <c r="P76" s="2">
        <f t="shared" si="11"/>
        <v>74.910714285714306</v>
      </c>
    </row>
    <row r="77" spans="1:16" x14ac:dyDescent="0.3">
      <c r="A77" s="2" t="s">
        <v>91</v>
      </c>
      <c r="B77" s="2" t="s">
        <v>146</v>
      </c>
      <c r="C77" s="2" t="s">
        <v>151</v>
      </c>
      <c r="D77" s="9">
        <v>0.53</v>
      </c>
      <c r="E77" s="2" t="s">
        <v>156</v>
      </c>
      <c r="F77" s="2" t="s">
        <v>158</v>
      </c>
      <c r="G77" s="2">
        <v>60</v>
      </c>
      <c r="H77" s="2">
        <v>58</v>
      </c>
      <c r="I77" s="2">
        <v>83</v>
      </c>
      <c r="J77" s="2">
        <f t="shared" si="6"/>
        <v>201</v>
      </c>
      <c r="K77" s="2">
        <v>300</v>
      </c>
      <c r="L77" s="2">
        <f t="shared" si="7"/>
        <v>67</v>
      </c>
      <c r="M77" s="2" t="str">
        <f t="shared" si="8"/>
        <v>D</v>
      </c>
      <c r="N77" s="2" t="str">
        <f t="shared" si="9"/>
        <v>Pass</v>
      </c>
      <c r="O77" s="2">
        <f t="shared" si="10"/>
        <v>46</v>
      </c>
      <c r="P77" s="2">
        <f t="shared" si="11"/>
        <v>75.042424242424246</v>
      </c>
    </row>
    <row r="78" spans="1:16" x14ac:dyDescent="0.3">
      <c r="A78" s="2" t="s">
        <v>92</v>
      </c>
      <c r="B78" s="2" t="s">
        <v>147</v>
      </c>
      <c r="C78" s="2" t="s">
        <v>148</v>
      </c>
      <c r="D78" s="9">
        <v>0.66</v>
      </c>
      <c r="E78" s="2" t="s">
        <v>153</v>
      </c>
      <c r="F78" s="2" t="s">
        <v>159</v>
      </c>
      <c r="G78" s="2">
        <v>59</v>
      </c>
      <c r="H78" s="2">
        <v>46</v>
      </c>
      <c r="I78" s="2">
        <v>59</v>
      </c>
      <c r="J78" s="2">
        <f t="shared" si="6"/>
        <v>164</v>
      </c>
      <c r="K78" s="2">
        <v>300</v>
      </c>
      <c r="L78" s="2">
        <f t="shared" si="7"/>
        <v>54.666666666666664</v>
      </c>
      <c r="M78" s="2" t="str">
        <f t="shared" si="8"/>
        <v>F</v>
      </c>
      <c r="N78" s="2" t="str">
        <f t="shared" si="9"/>
        <v>Fail</v>
      </c>
      <c r="O78" s="2">
        <f t="shared" si="10"/>
        <v>54</v>
      </c>
      <c r="P78" s="2">
        <f t="shared" si="11"/>
        <v>75.191358024691354</v>
      </c>
    </row>
    <row r="79" spans="1:16" x14ac:dyDescent="0.3">
      <c r="A79" s="2" t="s">
        <v>93</v>
      </c>
      <c r="B79" s="2" t="s">
        <v>146</v>
      </c>
      <c r="C79" s="2" t="s">
        <v>149</v>
      </c>
      <c r="D79" s="9">
        <v>0.55000000000000004</v>
      </c>
      <c r="E79" s="2" t="s">
        <v>154</v>
      </c>
      <c r="F79" s="2" t="s">
        <v>159</v>
      </c>
      <c r="G79" s="2">
        <v>69</v>
      </c>
      <c r="H79" s="2">
        <v>80</v>
      </c>
      <c r="I79" s="2">
        <v>66</v>
      </c>
      <c r="J79" s="2">
        <f t="shared" si="6"/>
        <v>215</v>
      </c>
      <c r="K79" s="2">
        <v>300</v>
      </c>
      <c r="L79" s="2">
        <f t="shared" si="7"/>
        <v>71.666666666666671</v>
      </c>
      <c r="M79" s="2" t="str">
        <f t="shared" si="8"/>
        <v>C</v>
      </c>
      <c r="N79" s="2" t="str">
        <f t="shared" si="9"/>
        <v>Pass</v>
      </c>
      <c r="O79" s="2">
        <f t="shared" si="10"/>
        <v>36</v>
      </c>
      <c r="P79" s="2">
        <f t="shared" si="11"/>
        <v>75.578616352201266</v>
      </c>
    </row>
    <row r="80" spans="1:16" x14ac:dyDescent="0.3">
      <c r="A80" s="2" t="s">
        <v>94</v>
      </c>
      <c r="B80" s="2" t="s">
        <v>147</v>
      </c>
      <c r="C80" s="2" t="s">
        <v>150</v>
      </c>
      <c r="D80" s="9">
        <v>0.85</v>
      </c>
      <c r="E80" s="2" t="s">
        <v>156</v>
      </c>
      <c r="F80" s="2" t="s">
        <v>158</v>
      </c>
      <c r="G80" s="2">
        <v>68</v>
      </c>
      <c r="H80" s="2">
        <v>99</v>
      </c>
      <c r="I80" s="2">
        <v>74</v>
      </c>
      <c r="J80" s="2">
        <f t="shared" si="6"/>
        <v>241</v>
      </c>
      <c r="K80" s="2">
        <v>300</v>
      </c>
      <c r="L80" s="2">
        <f t="shared" si="7"/>
        <v>80.333333333333329</v>
      </c>
      <c r="M80" s="2" t="str">
        <f t="shared" si="8"/>
        <v>B</v>
      </c>
      <c r="N80" s="2" t="str">
        <f t="shared" si="9"/>
        <v>Pass</v>
      </c>
      <c r="O80" s="2">
        <f t="shared" si="10"/>
        <v>16</v>
      </c>
      <c r="P80" s="2">
        <f t="shared" si="11"/>
        <v>75.65384615384616</v>
      </c>
    </row>
    <row r="81" spans="1:16" x14ac:dyDescent="0.3">
      <c r="A81" s="2" t="s">
        <v>95</v>
      </c>
      <c r="B81" s="2" t="s">
        <v>146</v>
      </c>
      <c r="C81" s="2" t="s">
        <v>152</v>
      </c>
      <c r="D81" s="9">
        <v>0.72</v>
      </c>
      <c r="E81" s="2" t="s">
        <v>155</v>
      </c>
      <c r="F81" s="2" t="s">
        <v>159</v>
      </c>
      <c r="G81" s="2">
        <v>60</v>
      </c>
      <c r="H81" s="2">
        <v>68</v>
      </c>
      <c r="I81" s="2">
        <v>59</v>
      </c>
      <c r="J81" s="2">
        <f t="shared" si="6"/>
        <v>187</v>
      </c>
      <c r="K81" s="2">
        <v>300</v>
      </c>
      <c r="L81" s="2">
        <f t="shared" si="7"/>
        <v>62.333333333333329</v>
      </c>
      <c r="M81" s="2" t="str">
        <f t="shared" si="8"/>
        <v>D</v>
      </c>
      <c r="N81" s="2" t="str">
        <f t="shared" si="9"/>
        <v>Pass</v>
      </c>
      <c r="O81" s="2">
        <f t="shared" si="10"/>
        <v>47</v>
      </c>
      <c r="P81" s="2">
        <f t="shared" si="11"/>
        <v>75.562091503267993</v>
      </c>
    </row>
    <row r="82" spans="1:16" x14ac:dyDescent="0.3">
      <c r="A82" s="2" t="s">
        <v>96</v>
      </c>
      <c r="B82" s="2" t="s">
        <v>147</v>
      </c>
      <c r="C82" s="2" t="s">
        <v>148</v>
      </c>
      <c r="D82" s="9">
        <v>0.56000000000000005</v>
      </c>
      <c r="E82" s="2" t="s">
        <v>156</v>
      </c>
      <c r="F82" s="2" t="s">
        <v>158</v>
      </c>
      <c r="G82" s="2">
        <v>70</v>
      </c>
      <c r="H82" s="2">
        <v>73</v>
      </c>
      <c r="I82" s="2">
        <v>79</v>
      </c>
      <c r="J82" s="2">
        <f t="shared" si="6"/>
        <v>222</v>
      </c>
      <c r="K82" s="2">
        <v>300</v>
      </c>
      <c r="L82" s="2">
        <f t="shared" si="7"/>
        <v>74</v>
      </c>
      <c r="M82" s="2" t="str">
        <f t="shared" si="8"/>
        <v>C</v>
      </c>
      <c r="N82" s="2" t="str">
        <f t="shared" si="9"/>
        <v>Pass</v>
      </c>
      <c r="O82" s="2">
        <f t="shared" si="10"/>
        <v>33</v>
      </c>
      <c r="P82" s="2">
        <f t="shared" si="11"/>
        <v>75.826666666666682</v>
      </c>
    </row>
    <row r="83" spans="1:16" x14ac:dyDescent="0.3">
      <c r="A83" s="2" t="s">
        <v>97</v>
      </c>
      <c r="B83" s="2" t="s">
        <v>146</v>
      </c>
      <c r="C83" s="2" t="s">
        <v>149</v>
      </c>
      <c r="D83" s="9">
        <v>0.88</v>
      </c>
      <c r="E83" s="2" t="s">
        <v>153</v>
      </c>
      <c r="F83" s="2" t="s">
        <v>158</v>
      </c>
      <c r="G83" s="2">
        <v>58</v>
      </c>
      <c r="H83" s="2">
        <v>52</v>
      </c>
      <c r="I83" s="2">
        <v>66</v>
      </c>
      <c r="J83" s="2">
        <f t="shared" si="6"/>
        <v>176</v>
      </c>
      <c r="K83" s="2">
        <v>300</v>
      </c>
      <c r="L83" s="2">
        <f t="shared" si="7"/>
        <v>58.666666666666664</v>
      </c>
      <c r="M83" s="2" t="str">
        <f t="shared" si="8"/>
        <v>F</v>
      </c>
      <c r="N83" s="2" t="str">
        <f t="shared" si="9"/>
        <v>Fail</v>
      </c>
      <c r="O83" s="2">
        <f t="shared" si="10"/>
        <v>49</v>
      </c>
      <c r="P83" s="2">
        <f t="shared" si="11"/>
        <v>75.863945578231309</v>
      </c>
    </row>
    <row r="84" spans="1:16" x14ac:dyDescent="0.3">
      <c r="A84" s="2" t="s">
        <v>98</v>
      </c>
      <c r="B84" s="2" t="s">
        <v>147</v>
      </c>
      <c r="C84" s="2" t="s">
        <v>150</v>
      </c>
      <c r="D84" s="9">
        <v>0.92</v>
      </c>
      <c r="E84" s="2" t="s">
        <v>157</v>
      </c>
      <c r="F84" s="2" t="s">
        <v>159</v>
      </c>
      <c r="G84" s="2">
        <v>72</v>
      </c>
      <c r="H84" s="2">
        <v>83</v>
      </c>
      <c r="I84" s="2">
        <v>77</v>
      </c>
      <c r="J84" s="2">
        <f t="shared" si="6"/>
        <v>232</v>
      </c>
      <c r="K84" s="2">
        <v>300</v>
      </c>
      <c r="L84" s="2">
        <f t="shared" si="7"/>
        <v>77.333333333333329</v>
      </c>
      <c r="M84" s="2" t="str">
        <f t="shared" si="8"/>
        <v>C</v>
      </c>
      <c r="N84" s="2" t="str">
        <f t="shared" si="9"/>
        <v>Pass</v>
      </c>
      <c r="O84" s="2">
        <f t="shared" si="10"/>
        <v>24</v>
      </c>
      <c r="P84" s="2">
        <f t="shared" si="11"/>
        <v>76.222222222222229</v>
      </c>
    </row>
    <row r="85" spans="1:16" x14ac:dyDescent="0.3">
      <c r="A85" s="2" t="s">
        <v>99</v>
      </c>
      <c r="B85" s="2" t="s">
        <v>146</v>
      </c>
      <c r="C85" s="2" t="s">
        <v>151</v>
      </c>
      <c r="D85" s="9">
        <v>0.75</v>
      </c>
      <c r="E85" s="2" t="s">
        <v>154</v>
      </c>
      <c r="F85" s="2" t="s">
        <v>159</v>
      </c>
      <c r="G85" s="2">
        <v>91</v>
      </c>
      <c r="H85" s="2">
        <v>59</v>
      </c>
      <c r="I85" s="2">
        <v>80</v>
      </c>
      <c r="J85" s="2">
        <f t="shared" si="6"/>
        <v>230</v>
      </c>
      <c r="K85" s="2">
        <v>300</v>
      </c>
      <c r="L85" s="2">
        <f t="shared" si="7"/>
        <v>76.666666666666671</v>
      </c>
      <c r="M85" s="2" t="str">
        <f t="shared" si="8"/>
        <v>C</v>
      </c>
      <c r="N85" s="2" t="str">
        <f t="shared" si="9"/>
        <v>Pass</v>
      </c>
      <c r="O85" s="2">
        <f t="shared" si="10"/>
        <v>25</v>
      </c>
      <c r="P85" s="2">
        <f t="shared" si="11"/>
        <v>76.198581560283699</v>
      </c>
    </row>
    <row r="86" spans="1:16" x14ac:dyDescent="0.3">
      <c r="A86" s="2" t="s">
        <v>100</v>
      </c>
      <c r="B86" s="2" t="s">
        <v>147</v>
      </c>
      <c r="C86" s="2" t="s">
        <v>148</v>
      </c>
      <c r="D86" s="9">
        <v>0.88</v>
      </c>
      <c r="E86" s="2" t="s">
        <v>155</v>
      </c>
      <c r="F86" s="2" t="s">
        <v>158</v>
      </c>
      <c r="G86" s="2">
        <v>95</v>
      </c>
      <c r="H86" s="2">
        <v>66</v>
      </c>
      <c r="I86" s="2">
        <v>73</v>
      </c>
      <c r="J86" s="2">
        <f t="shared" si="6"/>
        <v>234</v>
      </c>
      <c r="K86" s="2">
        <v>300</v>
      </c>
      <c r="L86" s="2">
        <f t="shared" si="7"/>
        <v>78</v>
      </c>
      <c r="M86" s="2" t="str">
        <f t="shared" si="8"/>
        <v>C</v>
      </c>
      <c r="N86" s="2" t="str">
        <f t="shared" si="9"/>
        <v>Pass</v>
      </c>
      <c r="O86" s="2">
        <f t="shared" si="10"/>
        <v>22</v>
      </c>
      <c r="P86" s="2">
        <f t="shared" si="11"/>
        <v>76.188405797101467</v>
      </c>
    </row>
    <row r="87" spans="1:16" x14ac:dyDescent="0.3">
      <c r="A87" s="2" t="s">
        <v>101</v>
      </c>
      <c r="B87" s="2" t="s">
        <v>146</v>
      </c>
      <c r="C87" s="2" t="s">
        <v>151</v>
      </c>
      <c r="D87" s="9">
        <v>0.92</v>
      </c>
      <c r="E87" s="2" t="s">
        <v>153</v>
      </c>
      <c r="F87" s="2" t="s">
        <v>159</v>
      </c>
      <c r="G87" s="2">
        <v>99</v>
      </c>
      <c r="H87" s="2">
        <v>74</v>
      </c>
      <c r="I87" s="2">
        <v>84</v>
      </c>
      <c r="J87" s="2">
        <f t="shared" si="6"/>
        <v>257</v>
      </c>
      <c r="K87" s="2">
        <v>300</v>
      </c>
      <c r="L87" s="2">
        <f t="shared" si="7"/>
        <v>85.666666666666671</v>
      </c>
      <c r="M87" s="2" t="str">
        <f t="shared" si="8"/>
        <v>B</v>
      </c>
      <c r="N87" s="2" t="str">
        <f t="shared" si="9"/>
        <v>Pass</v>
      </c>
      <c r="O87" s="2">
        <f t="shared" si="10"/>
        <v>4</v>
      </c>
      <c r="P87" s="2">
        <f t="shared" si="11"/>
        <v>76.148148148148167</v>
      </c>
    </row>
    <row r="88" spans="1:16" x14ac:dyDescent="0.3">
      <c r="A88" s="2" t="s">
        <v>102</v>
      </c>
      <c r="B88" s="2" t="s">
        <v>147</v>
      </c>
      <c r="C88" s="2" t="s">
        <v>149</v>
      </c>
      <c r="D88" s="9">
        <v>0.35</v>
      </c>
      <c r="E88" s="2" t="s">
        <v>156</v>
      </c>
      <c r="F88" s="2" t="s">
        <v>158</v>
      </c>
      <c r="G88" s="2">
        <v>64</v>
      </c>
      <c r="H88" s="2">
        <v>59</v>
      </c>
      <c r="I88" s="2">
        <v>97</v>
      </c>
      <c r="J88" s="2">
        <f t="shared" si="6"/>
        <v>220</v>
      </c>
      <c r="K88" s="2">
        <v>300</v>
      </c>
      <c r="L88" s="2">
        <f t="shared" si="7"/>
        <v>73.333333333333329</v>
      </c>
      <c r="M88" s="2" t="str">
        <f t="shared" si="8"/>
        <v>C</v>
      </c>
      <c r="N88" s="2" t="str">
        <f t="shared" si="9"/>
        <v>Pass</v>
      </c>
      <c r="O88" s="2">
        <f t="shared" si="10"/>
        <v>29</v>
      </c>
      <c r="P88" s="2">
        <f t="shared" si="11"/>
        <v>75.931818181818215</v>
      </c>
    </row>
    <row r="89" spans="1:16" x14ac:dyDescent="0.3">
      <c r="A89" s="2" t="s">
        <v>103</v>
      </c>
      <c r="B89" s="2" t="s">
        <v>146</v>
      </c>
      <c r="C89" s="2" t="s">
        <v>150</v>
      </c>
      <c r="D89" s="9">
        <v>0.46</v>
      </c>
      <c r="E89" s="2" t="s">
        <v>155</v>
      </c>
      <c r="F89" s="2" t="s">
        <v>158</v>
      </c>
      <c r="G89" s="2">
        <v>85</v>
      </c>
      <c r="H89" s="2">
        <v>79</v>
      </c>
      <c r="I89" s="2">
        <v>91</v>
      </c>
      <c r="J89" s="2">
        <f t="shared" si="6"/>
        <v>255</v>
      </c>
      <c r="K89" s="2">
        <v>300</v>
      </c>
      <c r="L89" s="2">
        <f t="shared" si="7"/>
        <v>85</v>
      </c>
      <c r="M89" s="2" t="str">
        <f t="shared" si="8"/>
        <v>B</v>
      </c>
      <c r="N89" s="2" t="str">
        <f t="shared" si="9"/>
        <v>Pass</v>
      </c>
      <c r="O89" s="2">
        <f t="shared" si="10"/>
        <v>5</v>
      </c>
      <c r="P89" s="2">
        <f t="shared" si="11"/>
        <v>75.99224806201552</v>
      </c>
    </row>
    <row r="90" spans="1:16" x14ac:dyDescent="0.3">
      <c r="A90" s="2" t="s">
        <v>104</v>
      </c>
      <c r="B90" s="2" t="s">
        <v>147</v>
      </c>
      <c r="C90" s="2" t="s">
        <v>151</v>
      </c>
      <c r="D90" s="9">
        <v>0.9</v>
      </c>
      <c r="E90" s="2" t="s">
        <v>153</v>
      </c>
      <c r="F90" s="2" t="s">
        <v>159</v>
      </c>
      <c r="G90" s="2">
        <v>88</v>
      </c>
      <c r="H90" s="2">
        <v>66</v>
      </c>
      <c r="I90" s="2">
        <v>83</v>
      </c>
      <c r="J90" s="2">
        <f t="shared" si="6"/>
        <v>237</v>
      </c>
      <c r="K90" s="2">
        <v>300</v>
      </c>
      <c r="L90" s="2">
        <f t="shared" si="7"/>
        <v>79</v>
      </c>
      <c r="M90" s="2" t="str">
        <f t="shared" si="8"/>
        <v>C</v>
      </c>
      <c r="N90" s="2" t="str">
        <f t="shared" si="9"/>
        <v>Pass</v>
      </c>
      <c r="O90" s="2">
        <f t="shared" si="10"/>
        <v>16</v>
      </c>
      <c r="P90" s="2">
        <f t="shared" si="11"/>
        <v>75.7777777777778</v>
      </c>
    </row>
    <row r="91" spans="1:16" x14ac:dyDescent="0.3">
      <c r="A91" s="2" t="s">
        <v>105</v>
      </c>
      <c r="B91" s="2" t="s">
        <v>146</v>
      </c>
      <c r="C91" s="2" t="s">
        <v>148</v>
      </c>
      <c r="D91" s="9">
        <v>0.21</v>
      </c>
      <c r="E91" s="2" t="s">
        <v>156</v>
      </c>
      <c r="F91" s="2" t="s">
        <v>158</v>
      </c>
      <c r="G91" s="2">
        <v>89</v>
      </c>
      <c r="H91" s="2">
        <v>68</v>
      </c>
      <c r="I91" s="2">
        <v>88</v>
      </c>
      <c r="J91" s="2">
        <f t="shared" si="6"/>
        <v>245</v>
      </c>
      <c r="K91" s="2">
        <v>300</v>
      </c>
      <c r="L91" s="2">
        <f t="shared" si="7"/>
        <v>81.666666666666671</v>
      </c>
      <c r="M91" s="2" t="str">
        <f t="shared" si="8"/>
        <v>B</v>
      </c>
      <c r="N91" s="2" t="str">
        <f t="shared" si="9"/>
        <v>Pass</v>
      </c>
      <c r="O91" s="2">
        <f t="shared" si="10"/>
        <v>12</v>
      </c>
      <c r="P91" s="2">
        <f t="shared" si="11"/>
        <v>75.699186991869936</v>
      </c>
    </row>
    <row r="92" spans="1:16" x14ac:dyDescent="0.3">
      <c r="A92" s="2" t="s">
        <v>106</v>
      </c>
      <c r="B92" s="2" t="s">
        <v>146</v>
      </c>
      <c r="C92" s="2" t="s">
        <v>152</v>
      </c>
      <c r="D92" s="9">
        <v>0.71</v>
      </c>
      <c r="E92" s="2" t="s">
        <v>155</v>
      </c>
      <c r="F92" s="2" t="s">
        <v>159</v>
      </c>
      <c r="G92" s="2">
        <v>99</v>
      </c>
      <c r="H92" s="2">
        <v>60</v>
      </c>
      <c r="I92" s="2">
        <v>71</v>
      </c>
      <c r="J92" s="2">
        <f t="shared" si="6"/>
        <v>230</v>
      </c>
      <c r="K92" s="2">
        <v>300</v>
      </c>
      <c r="L92" s="2">
        <f t="shared" si="7"/>
        <v>76.666666666666671</v>
      </c>
      <c r="M92" s="2" t="str">
        <f t="shared" si="8"/>
        <v>C</v>
      </c>
      <c r="N92" s="2" t="str">
        <f t="shared" si="9"/>
        <v>Pass</v>
      </c>
      <c r="O92" s="2">
        <f t="shared" si="10"/>
        <v>20</v>
      </c>
      <c r="P92" s="2">
        <f t="shared" si="11"/>
        <v>75.550000000000011</v>
      </c>
    </row>
    <row r="93" spans="1:16" x14ac:dyDescent="0.3">
      <c r="A93" s="2" t="s">
        <v>107</v>
      </c>
      <c r="B93" s="2" t="s">
        <v>146</v>
      </c>
      <c r="C93" s="2" t="s">
        <v>149</v>
      </c>
      <c r="D93" s="9">
        <v>0.69</v>
      </c>
      <c r="E93" s="2" t="s">
        <v>154</v>
      </c>
      <c r="F93" s="2" t="s">
        <v>158</v>
      </c>
      <c r="G93" s="2">
        <v>60</v>
      </c>
      <c r="H93" s="2">
        <v>70</v>
      </c>
      <c r="I93" s="2">
        <v>79</v>
      </c>
      <c r="J93" s="2">
        <f t="shared" si="6"/>
        <v>209</v>
      </c>
      <c r="K93" s="2">
        <v>300</v>
      </c>
      <c r="L93" s="2">
        <f t="shared" si="7"/>
        <v>69.666666666666671</v>
      </c>
      <c r="M93" s="2" t="str">
        <f t="shared" si="8"/>
        <v>D</v>
      </c>
      <c r="N93" s="2" t="str">
        <f t="shared" si="9"/>
        <v>Pass</v>
      </c>
      <c r="O93" s="2">
        <f t="shared" si="10"/>
        <v>30</v>
      </c>
      <c r="P93" s="2">
        <f t="shared" si="11"/>
        <v>75.521367521367537</v>
      </c>
    </row>
    <row r="94" spans="1:16" x14ac:dyDescent="0.3">
      <c r="A94" s="2" t="s">
        <v>108</v>
      </c>
      <c r="B94" s="2" t="s">
        <v>146</v>
      </c>
      <c r="C94" s="2" t="s">
        <v>151</v>
      </c>
      <c r="D94" s="9">
        <v>0.99</v>
      </c>
      <c r="E94" s="2" t="s">
        <v>156</v>
      </c>
      <c r="F94" s="2" t="s">
        <v>158</v>
      </c>
      <c r="G94" s="2">
        <v>72</v>
      </c>
      <c r="H94" s="2">
        <v>58</v>
      </c>
      <c r="I94" s="2">
        <v>59</v>
      </c>
      <c r="J94" s="2">
        <f t="shared" si="6"/>
        <v>189</v>
      </c>
      <c r="K94" s="2">
        <v>300</v>
      </c>
      <c r="L94" s="2">
        <f t="shared" si="7"/>
        <v>63</v>
      </c>
      <c r="M94" s="2" t="str">
        <f t="shared" si="8"/>
        <v>D</v>
      </c>
      <c r="N94" s="2" t="str">
        <f t="shared" si="9"/>
        <v>Pass</v>
      </c>
      <c r="O94" s="2">
        <f t="shared" si="10"/>
        <v>35</v>
      </c>
      <c r="P94" s="2">
        <f t="shared" si="11"/>
        <v>75.675438596491233</v>
      </c>
    </row>
    <row r="95" spans="1:16" x14ac:dyDescent="0.3">
      <c r="A95" s="2" t="s">
        <v>109</v>
      </c>
      <c r="B95" s="2" t="s">
        <v>147</v>
      </c>
      <c r="C95" s="2" t="s">
        <v>152</v>
      </c>
      <c r="D95" s="9">
        <v>0.92</v>
      </c>
      <c r="E95" s="2" t="s">
        <v>153</v>
      </c>
      <c r="F95" s="2" t="s">
        <v>159</v>
      </c>
      <c r="G95" s="2">
        <v>58</v>
      </c>
      <c r="H95" s="2">
        <v>72</v>
      </c>
      <c r="I95" s="2">
        <v>60</v>
      </c>
      <c r="J95" s="2">
        <f t="shared" si="6"/>
        <v>190</v>
      </c>
      <c r="K95" s="2">
        <v>300</v>
      </c>
      <c r="L95" s="2">
        <f t="shared" si="7"/>
        <v>63.333333333333329</v>
      </c>
      <c r="M95" s="2" t="str">
        <f t="shared" si="8"/>
        <v>D</v>
      </c>
      <c r="N95" s="2" t="str">
        <f t="shared" si="9"/>
        <v>Pass</v>
      </c>
      <c r="O95" s="2">
        <f t="shared" si="10"/>
        <v>34</v>
      </c>
      <c r="P95" s="2">
        <f t="shared" si="11"/>
        <v>76.018018018018026</v>
      </c>
    </row>
    <row r="96" spans="1:16" x14ac:dyDescent="0.3">
      <c r="A96" s="2" t="s">
        <v>110</v>
      </c>
      <c r="B96" s="2" t="s">
        <v>147</v>
      </c>
      <c r="C96" s="2" t="s">
        <v>148</v>
      </c>
      <c r="D96" s="9">
        <v>0.86</v>
      </c>
      <c r="E96" s="2" t="s">
        <v>157</v>
      </c>
      <c r="F96" s="2" t="s">
        <v>158</v>
      </c>
      <c r="G96" s="2">
        <v>88</v>
      </c>
      <c r="H96" s="2">
        <v>91</v>
      </c>
      <c r="I96" s="2">
        <v>79</v>
      </c>
      <c r="J96" s="2">
        <f t="shared" si="6"/>
        <v>258</v>
      </c>
      <c r="K96" s="2">
        <v>300</v>
      </c>
      <c r="L96" s="2">
        <f t="shared" si="7"/>
        <v>86</v>
      </c>
      <c r="M96" s="2" t="str">
        <f t="shared" si="8"/>
        <v>B</v>
      </c>
      <c r="N96" s="2" t="str">
        <f t="shared" si="9"/>
        <v>Pass</v>
      </c>
      <c r="O96" s="2">
        <f t="shared" si="10"/>
        <v>3</v>
      </c>
      <c r="P96" s="2">
        <f t="shared" si="11"/>
        <v>76.370370370370381</v>
      </c>
    </row>
    <row r="97" spans="1:16" x14ac:dyDescent="0.3">
      <c r="A97" s="2" t="s">
        <v>111</v>
      </c>
      <c r="B97" s="2" t="s">
        <v>147</v>
      </c>
      <c r="C97" s="2" t="s">
        <v>148</v>
      </c>
      <c r="D97" s="9">
        <v>0.77</v>
      </c>
      <c r="E97" s="2" t="s">
        <v>156</v>
      </c>
      <c r="F97" s="2" t="s">
        <v>158</v>
      </c>
      <c r="G97" s="2">
        <v>79</v>
      </c>
      <c r="H97" s="2">
        <v>95</v>
      </c>
      <c r="I97" s="2">
        <v>81</v>
      </c>
      <c r="J97" s="2">
        <f t="shared" si="6"/>
        <v>255</v>
      </c>
      <c r="K97" s="2">
        <v>300</v>
      </c>
      <c r="L97" s="2">
        <f t="shared" si="7"/>
        <v>85</v>
      </c>
      <c r="M97" s="2" t="str">
        <f t="shared" si="8"/>
        <v>B</v>
      </c>
      <c r="N97" s="2" t="str">
        <f t="shared" si="9"/>
        <v>Pass</v>
      </c>
      <c r="O97" s="2">
        <f t="shared" si="10"/>
        <v>4</v>
      </c>
      <c r="P97" s="2">
        <f t="shared" si="11"/>
        <v>76.095238095238102</v>
      </c>
    </row>
    <row r="98" spans="1:16" x14ac:dyDescent="0.3">
      <c r="A98" s="2" t="s">
        <v>112</v>
      </c>
      <c r="B98" s="2" t="s">
        <v>146</v>
      </c>
      <c r="C98" s="2" t="s">
        <v>150</v>
      </c>
      <c r="D98" s="9">
        <v>0.6</v>
      </c>
      <c r="E98" s="2" t="s">
        <v>153</v>
      </c>
      <c r="F98" s="2" t="s">
        <v>159</v>
      </c>
      <c r="G98" s="2">
        <v>68</v>
      </c>
      <c r="H98" s="2">
        <v>99</v>
      </c>
      <c r="I98" s="2">
        <v>90</v>
      </c>
      <c r="J98" s="2">
        <f t="shared" si="6"/>
        <v>257</v>
      </c>
      <c r="K98" s="2">
        <v>300</v>
      </c>
      <c r="L98" s="2">
        <f t="shared" si="7"/>
        <v>85.666666666666671</v>
      </c>
      <c r="M98" s="2" t="str">
        <f t="shared" si="8"/>
        <v>B</v>
      </c>
      <c r="N98" s="2" t="str">
        <f t="shared" si="9"/>
        <v>Pass</v>
      </c>
      <c r="O98" s="2">
        <f t="shared" si="10"/>
        <v>3</v>
      </c>
      <c r="P98" s="2">
        <f t="shared" si="11"/>
        <v>75.833333333333329</v>
      </c>
    </row>
    <row r="99" spans="1:16" x14ac:dyDescent="0.3">
      <c r="A99" s="2" t="s">
        <v>113</v>
      </c>
      <c r="B99" s="2" t="s">
        <v>147</v>
      </c>
      <c r="C99" s="2" t="s">
        <v>149</v>
      </c>
      <c r="D99" s="9">
        <v>0.73</v>
      </c>
      <c r="E99" s="2" t="s">
        <v>156</v>
      </c>
      <c r="F99" s="2" t="s">
        <v>159</v>
      </c>
      <c r="G99" s="2">
        <v>50</v>
      </c>
      <c r="H99" s="2">
        <v>64</v>
      </c>
      <c r="I99" s="2">
        <v>68</v>
      </c>
      <c r="J99" s="2">
        <f t="shared" si="6"/>
        <v>182</v>
      </c>
      <c r="K99" s="2">
        <v>300</v>
      </c>
      <c r="L99" s="2">
        <f t="shared" si="7"/>
        <v>60.666666666666671</v>
      </c>
      <c r="M99" s="2" t="str">
        <f t="shared" si="8"/>
        <v>D</v>
      </c>
      <c r="N99" s="2" t="str">
        <f t="shared" si="9"/>
        <v>Pass</v>
      </c>
      <c r="O99" s="2">
        <f t="shared" si="10"/>
        <v>33</v>
      </c>
      <c r="P99" s="2">
        <f t="shared" si="11"/>
        <v>75.535353535353536</v>
      </c>
    </row>
    <row r="100" spans="1:16" x14ac:dyDescent="0.3">
      <c r="A100" s="2" t="s">
        <v>114</v>
      </c>
      <c r="B100" s="2" t="s">
        <v>146</v>
      </c>
      <c r="C100" s="2" t="s">
        <v>152</v>
      </c>
      <c r="D100" s="9">
        <v>0.89</v>
      </c>
      <c r="E100" s="2" t="s">
        <v>154</v>
      </c>
      <c r="F100" s="2" t="s">
        <v>159</v>
      </c>
      <c r="G100" s="2">
        <v>80</v>
      </c>
      <c r="H100" s="2">
        <v>85</v>
      </c>
      <c r="I100" s="2">
        <v>60</v>
      </c>
      <c r="J100" s="2">
        <f t="shared" si="6"/>
        <v>225</v>
      </c>
      <c r="K100" s="2">
        <v>300</v>
      </c>
      <c r="L100" s="2">
        <f t="shared" si="7"/>
        <v>75</v>
      </c>
      <c r="M100" s="2" t="str">
        <f t="shared" si="8"/>
        <v>C</v>
      </c>
      <c r="N100" s="2" t="str">
        <f t="shared" si="9"/>
        <v>Pass</v>
      </c>
      <c r="O100" s="2">
        <f t="shared" si="10"/>
        <v>19</v>
      </c>
      <c r="P100" s="2">
        <f t="shared" si="11"/>
        <v>75.999999999999986</v>
      </c>
    </row>
    <row r="101" spans="1:16" x14ac:dyDescent="0.3">
      <c r="A101" s="2" t="s">
        <v>115</v>
      </c>
      <c r="B101" s="2" t="s">
        <v>147</v>
      </c>
      <c r="C101" s="2" t="s">
        <v>148</v>
      </c>
      <c r="D101" s="9">
        <v>0.59</v>
      </c>
      <c r="E101" s="2" t="s">
        <v>157</v>
      </c>
      <c r="F101" s="2" t="s">
        <v>158</v>
      </c>
      <c r="G101" s="2">
        <v>79</v>
      </c>
      <c r="H101" s="2">
        <v>88</v>
      </c>
      <c r="I101" s="2">
        <v>70</v>
      </c>
      <c r="J101" s="2">
        <f t="shared" si="6"/>
        <v>237</v>
      </c>
      <c r="K101" s="2">
        <v>300</v>
      </c>
      <c r="L101" s="2">
        <f t="shared" si="7"/>
        <v>79</v>
      </c>
      <c r="M101" s="2" t="str">
        <f t="shared" si="8"/>
        <v>C</v>
      </c>
      <c r="N101" s="2" t="str">
        <f t="shared" si="9"/>
        <v>Pass</v>
      </c>
      <c r="O101" s="2">
        <f t="shared" si="10"/>
        <v>12</v>
      </c>
      <c r="P101" s="2">
        <f t="shared" si="11"/>
        <v>76.032258064516114</v>
      </c>
    </row>
    <row r="102" spans="1:16" x14ac:dyDescent="0.3">
      <c r="A102" s="2" t="s">
        <v>116</v>
      </c>
      <c r="B102" s="2" t="s">
        <v>147</v>
      </c>
      <c r="C102" s="2" t="s">
        <v>149</v>
      </c>
      <c r="D102" s="9">
        <v>0.5</v>
      </c>
      <c r="E102" s="2" t="s">
        <v>157</v>
      </c>
      <c r="F102" s="2" t="s">
        <v>158</v>
      </c>
      <c r="G102" s="2">
        <v>83</v>
      </c>
      <c r="H102" s="2">
        <v>89</v>
      </c>
      <c r="I102" s="2">
        <v>58</v>
      </c>
      <c r="J102" s="2">
        <f t="shared" si="6"/>
        <v>230</v>
      </c>
      <c r="K102" s="2">
        <v>300</v>
      </c>
      <c r="L102" s="2">
        <f t="shared" si="7"/>
        <v>76.666666666666671</v>
      </c>
      <c r="M102" s="2" t="str">
        <f t="shared" si="8"/>
        <v>C</v>
      </c>
      <c r="N102" s="2" t="str">
        <f t="shared" si="9"/>
        <v>Pass</v>
      </c>
      <c r="O102" s="2">
        <f t="shared" si="10"/>
        <v>16</v>
      </c>
      <c r="P102" s="2">
        <f t="shared" si="11"/>
        <v>75.933333333333323</v>
      </c>
    </row>
    <row r="103" spans="1:16" x14ac:dyDescent="0.3">
      <c r="A103" s="2" t="s">
        <v>117</v>
      </c>
      <c r="B103" s="2" t="s">
        <v>147</v>
      </c>
      <c r="C103" s="2" t="s">
        <v>151</v>
      </c>
      <c r="D103" s="9">
        <v>0.64</v>
      </c>
      <c r="E103" s="2" t="s">
        <v>154</v>
      </c>
      <c r="F103" s="2" t="s">
        <v>159</v>
      </c>
      <c r="G103" s="2">
        <v>82</v>
      </c>
      <c r="H103" s="2">
        <v>99</v>
      </c>
      <c r="I103" s="2">
        <v>72</v>
      </c>
      <c r="J103" s="2">
        <f t="shared" si="6"/>
        <v>253</v>
      </c>
      <c r="K103" s="2">
        <v>300</v>
      </c>
      <c r="L103" s="2">
        <f t="shared" si="7"/>
        <v>84.333333333333343</v>
      </c>
      <c r="M103" s="2" t="str">
        <f t="shared" si="8"/>
        <v>B</v>
      </c>
      <c r="N103" s="2" t="str">
        <f t="shared" si="9"/>
        <v>Pass</v>
      </c>
      <c r="O103" s="2">
        <f t="shared" si="10"/>
        <v>3</v>
      </c>
      <c r="P103" s="2">
        <f t="shared" si="11"/>
        <v>75.908045977011469</v>
      </c>
    </row>
    <row r="104" spans="1:16" x14ac:dyDescent="0.3">
      <c r="A104" s="2" t="s">
        <v>118</v>
      </c>
      <c r="B104" s="2" t="s">
        <v>146</v>
      </c>
      <c r="C104" s="2" t="s">
        <v>150</v>
      </c>
      <c r="D104" s="9">
        <v>0.78</v>
      </c>
      <c r="E104" s="2" t="s">
        <v>157</v>
      </c>
      <c r="F104" s="2" t="s">
        <v>158</v>
      </c>
      <c r="G104" s="2">
        <v>91</v>
      </c>
      <c r="H104" s="2">
        <v>60</v>
      </c>
      <c r="I104" s="2">
        <v>91</v>
      </c>
      <c r="J104" s="2">
        <f t="shared" si="6"/>
        <v>242</v>
      </c>
      <c r="K104" s="2">
        <v>300</v>
      </c>
      <c r="L104" s="2">
        <f t="shared" si="7"/>
        <v>80.666666666666657</v>
      </c>
      <c r="M104" s="2" t="str">
        <f t="shared" si="8"/>
        <v>B</v>
      </c>
      <c r="N104" s="2" t="str">
        <f t="shared" si="9"/>
        <v>Pass</v>
      </c>
      <c r="O104" s="2">
        <f t="shared" si="10"/>
        <v>8</v>
      </c>
      <c r="P104" s="2">
        <f t="shared" si="11"/>
        <v>75.607142857142847</v>
      </c>
    </row>
    <row r="105" spans="1:16" x14ac:dyDescent="0.3">
      <c r="A105" s="2" t="s">
        <v>119</v>
      </c>
      <c r="B105" s="2" t="s">
        <v>146</v>
      </c>
      <c r="C105" s="2" t="s">
        <v>149</v>
      </c>
      <c r="D105" s="9">
        <v>0.43</v>
      </c>
      <c r="E105" s="2" t="s">
        <v>157</v>
      </c>
      <c r="F105" s="2" t="s">
        <v>159</v>
      </c>
      <c r="G105" s="2">
        <v>85</v>
      </c>
      <c r="H105" s="2">
        <v>72</v>
      </c>
      <c r="I105" s="2">
        <v>95</v>
      </c>
      <c r="J105" s="2">
        <f t="shared" si="6"/>
        <v>252</v>
      </c>
      <c r="K105" s="2">
        <v>300</v>
      </c>
      <c r="L105" s="2">
        <f t="shared" si="7"/>
        <v>84</v>
      </c>
      <c r="M105" s="2" t="str">
        <f t="shared" si="8"/>
        <v>B</v>
      </c>
      <c r="N105" s="2" t="str">
        <f t="shared" si="9"/>
        <v>Pass</v>
      </c>
      <c r="O105" s="2">
        <f t="shared" si="10"/>
        <v>3</v>
      </c>
      <c r="P105" s="2">
        <f t="shared" si="11"/>
        <v>75.419753086419746</v>
      </c>
    </row>
    <row r="106" spans="1:16" x14ac:dyDescent="0.3">
      <c r="A106" s="2" t="s">
        <v>120</v>
      </c>
      <c r="B106" s="2" t="s">
        <v>146</v>
      </c>
      <c r="C106" s="2" t="s">
        <v>149</v>
      </c>
      <c r="D106" s="9">
        <v>0.76</v>
      </c>
      <c r="E106" s="2" t="s">
        <v>155</v>
      </c>
      <c r="F106" s="2" t="s">
        <v>158</v>
      </c>
      <c r="G106" s="2">
        <v>79</v>
      </c>
      <c r="H106" s="2">
        <v>58</v>
      </c>
      <c r="I106" s="2">
        <v>99</v>
      </c>
      <c r="J106" s="2">
        <f t="shared" si="6"/>
        <v>236</v>
      </c>
      <c r="K106" s="2">
        <v>300</v>
      </c>
      <c r="L106" s="2">
        <f t="shared" si="7"/>
        <v>78.666666666666657</v>
      </c>
      <c r="M106" s="2" t="str">
        <f t="shared" si="8"/>
        <v>C</v>
      </c>
      <c r="N106" s="2" t="str">
        <f t="shared" si="9"/>
        <v>Pass</v>
      </c>
      <c r="O106" s="2">
        <f t="shared" si="10"/>
        <v>9</v>
      </c>
      <c r="P106" s="2">
        <f t="shared" si="11"/>
        <v>75.089743589743577</v>
      </c>
    </row>
    <row r="107" spans="1:16" x14ac:dyDescent="0.3">
      <c r="A107" s="2" t="s">
        <v>121</v>
      </c>
      <c r="B107" s="2" t="s">
        <v>146</v>
      </c>
      <c r="C107" s="2" t="s">
        <v>152</v>
      </c>
      <c r="D107" s="9">
        <v>0.8</v>
      </c>
      <c r="E107" s="2" t="s">
        <v>156</v>
      </c>
      <c r="F107" s="2" t="s">
        <v>159</v>
      </c>
      <c r="G107" s="2">
        <v>60</v>
      </c>
      <c r="H107" s="2">
        <v>88</v>
      </c>
      <c r="I107" s="2">
        <v>64</v>
      </c>
      <c r="J107" s="2">
        <f t="shared" si="6"/>
        <v>212</v>
      </c>
      <c r="K107" s="2">
        <v>300</v>
      </c>
      <c r="L107" s="2">
        <f t="shared" si="7"/>
        <v>70.666666666666671</v>
      </c>
      <c r="M107" s="2" t="str">
        <f t="shared" si="8"/>
        <v>C</v>
      </c>
      <c r="N107" s="2" t="str">
        <f t="shared" si="9"/>
        <v>Pass</v>
      </c>
      <c r="O107" s="2">
        <f t="shared" si="10"/>
        <v>17</v>
      </c>
      <c r="P107" s="2">
        <f t="shared" si="11"/>
        <v>74.946666666666658</v>
      </c>
    </row>
    <row r="108" spans="1:16" x14ac:dyDescent="0.3">
      <c r="A108" s="2" t="s">
        <v>122</v>
      </c>
      <c r="B108" s="2" t="s">
        <v>146</v>
      </c>
      <c r="C108" s="2" t="s">
        <v>148</v>
      </c>
      <c r="D108" s="9">
        <v>0.95</v>
      </c>
      <c r="E108" s="2" t="s">
        <v>154</v>
      </c>
      <c r="F108" s="2" t="s">
        <v>158</v>
      </c>
      <c r="G108" s="2">
        <v>59</v>
      </c>
      <c r="H108" s="2">
        <v>79</v>
      </c>
      <c r="I108" s="2">
        <v>85</v>
      </c>
      <c r="J108" s="2">
        <f t="shared" si="6"/>
        <v>223</v>
      </c>
      <c r="K108" s="2">
        <v>300</v>
      </c>
      <c r="L108" s="2">
        <f t="shared" si="7"/>
        <v>74.333333333333329</v>
      </c>
      <c r="M108" s="2" t="str">
        <f t="shared" si="8"/>
        <v>C</v>
      </c>
      <c r="N108" s="2" t="str">
        <f t="shared" si="9"/>
        <v>Pass</v>
      </c>
      <c r="O108" s="2">
        <f t="shared" si="10"/>
        <v>14</v>
      </c>
      <c r="P108" s="2">
        <f t="shared" si="11"/>
        <v>75.125</v>
      </c>
    </row>
    <row r="109" spans="1:16" x14ac:dyDescent="0.3">
      <c r="A109" s="2" t="s">
        <v>123</v>
      </c>
      <c r="B109" s="2" t="s">
        <v>146</v>
      </c>
      <c r="C109" s="2" t="s">
        <v>151</v>
      </c>
      <c r="D109" s="9">
        <v>0.4</v>
      </c>
      <c r="E109" s="2" t="s">
        <v>155</v>
      </c>
      <c r="F109" s="2" t="s">
        <v>158</v>
      </c>
      <c r="G109" s="2">
        <v>69</v>
      </c>
      <c r="H109" s="2">
        <v>68</v>
      </c>
      <c r="I109" s="2">
        <v>88</v>
      </c>
      <c r="J109" s="2">
        <f t="shared" si="6"/>
        <v>225</v>
      </c>
      <c r="K109" s="2">
        <v>300</v>
      </c>
      <c r="L109" s="2">
        <f t="shared" si="7"/>
        <v>75</v>
      </c>
      <c r="M109" s="2" t="str">
        <f t="shared" si="8"/>
        <v>C</v>
      </c>
      <c r="N109" s="2" t="str">
        <f t="shared" si="9"/>
        <v>Pass</v>
      </c>
      <c r="O109" s="2">
        <f t="shared" si="10"/>
        <v>13</v>
      </c>
      <c r="P109" s="2">
        <f t="shared" si="11"/>
        <v>75.159420289855063</v>
      </c>
    </row>
    <row r="110" spans="1:16" x14ac:dyDescent="0.3">
      <c r="A110" s="2" t="s">
        <v>124</v>
      </c>
      <c r="B110" s="2" t="s">
        <v>146</v>
      </c>
      <c r="C110" s="2" t="s">
        <v>150</v>
      </c>
      <c r="D110" s="9">
        <v>0.62</v>
      </c>
      <c r="E110" s="2" t="s">
        <v>157</v>
      </c>
      <c r="F110" s="2" t="s">
        <v>159</v>
      </c>
      <c r="G110" s="2">
        <v>68</v>
      </c>
      <c r="H110" s="2">
        <v>50</v>
      </c>
      <c r="I110" s="2">
        <v>89</v>
      </c>
      <c r="J110" s="2">
        <f t="shared" si="6"/>
        <v>207</v>
      </c>
      <c r="K110" s="2">
        <v>300</v>
      </c>
      <c r="L110" s="2">
        <f t="shared" si="7"/>
        <v>69</v>
      </c>
      <c r="M110" s="2" t="str">
        <f t="shared" si="8"/>
        <v>D</v>
      </c>
      <c r="N110" s="2" t="str">
        <f t="shared" si="9"/>
        <v>Pass</v>
      </c>
      <c r="O110" s="2">
        <f t="shared" si="10"/>
        <v>18</v>
      </c>
      <c r="P110" s="2">
        <f t="shared" si="11"/>
        <v>75.166666666666657</v>
      </c>
    </row>
    <row r="111" spans="1:16" x14ac:dyDescent="0.3">
      <c r="A111" s="2" t="s">
        <v>125</v>
      </c>
      <c r="B111" s="2" t="s">
        <v>147</v>
      </c>
      <c r="C111" s="2" t="s">
        <v>152</v>
      </c>
      <c r="D111" s="9">
        <v>0.88</v>
      </c>
      <c r="E111" s="2" t="s">
        <v>156</v>
      </c>
      <c r="F111" s="2" t="s">
        <v>159</v>
      </c>
      <c r="G111" s="2">
        <v>60</v>
      </c>
      <c r="H111" s="2">
        <v>80</v>
      </c>
      <c r="I111" s="2">
        <v>99</v>
      </c>
      <c r="J111" s="2">
        <f t="shared" si="6"/>
        <v>239</v>
      </c>
      <c r="K111" s="2">
        <v>300</v>
      </c>
      <c r="L111" s="2">
        <f t="shared" si="7"/>
        <v>79.666666666666657</v>
      </c>
      <c r="M111" s="2" t="str">
        <f t="shared" si="8"/>
        <v>C</v>
      </c>
      <c r="N111" s="2" t="str">
        <f t="shared" si="9"/>
        <v>Pass</v>
      </c>
      <c r="O111" s="2">
        <f t="shared" si="10"/>
        <v>7</v>
      </c>
      <c r="P111" s="2">
        <f t="shared" si="11"/>
        <v>75.460317460317455</v>
      </c>
    </row>
    <row r="112" spans="1:16" x14ac:dyDescent="0.3">
      <c r="A112" s="2" t="s">
        <v>126</v>
      </c>
      <c r="B112" s="2" t="s">
        <v>147</v>
      </c>
      <c r="C112" s="2" t="s">
        <v>149</v>
      </c>
      <c r="D112" s="9">
        <v>0.99</v>
      </c>
      <c r="E112" s="2" t="s">
        <v>154</v>
      </c>
      <c r="F112" s="2" t="s">
        <v>158</v>
      </c>
      <c r="G112" s="2">
        <v>70</v>
      </c>
      <c r="H112" s="2">
        <v>79</v>
      </c>
      <c r="I112" s="2">
        <v>60</v>
      </c>
      <c r="J112" s="2">
        <f t="shared" si="6"/>
        <v>209</v>
      </c>
      <c r="K112" s="2">
        <v>300</v>
      </c>
      <c r="L112" s="2">
        <f t="shared" si="7"/>
        <v>69.666666666666671</v>
      </c>
      <c r="M112" s="2" t="str">
        <f t="shared" si="8"/>
        <v>D</v>
      </c>
      <c r="N112" s="2" t="str">
        <f t="shared" si="9"/>
        <v>Pass</v>
      </c>
      <c r="O112" s="2">
        <f t="shared" si="10"/>
        <v>16</v>
      </c>
      <c r="P112" s="2">
        <f t="shared" si="11"/>
        <v>75.25</v>
      </c>
    </row>
    <row r="113" spans="1:16" x14ac:dyDescent="0.3">
      <c r="A113" s="2" t="s">
        <v>127</v>
      </c>
      <c r="B113" s="2" t="s">
        <v>147</v>
      </c>
      <c r="C113" s="2" t="s">
        <v>150</v>
      </c>
      <c r="D113" s="9">
        <v>0.32</v>
      </c>
      <c r="E113" s="2" t="s">
        <v>157</v>
      </c>
      <c r="F113" s="2" t="s">
        <v>158</v>
      </c>
      <c r="G113" s="2">
        <v>58</v>
      </c>
      <c r="H113" s="2">
        <v>83</v>
      </c>
      <c r="I113" s="2">
        <v>72</v>
      </c>
      <c r="J113" s="2">
        <f t="shared" si="6"/>
        <v>213</v>
      </c>
      <c r="K113" s="2">
        <v>300</v>
      </c>
      <c r="L113" s="2">
        <f t="shared" si="7"/>
        <v>71</v>
      </c>
      <c r="M113" s="2" t="str">
        <f t="shared" si="8"/>
        <v>C</v>
      </c>
      <c r="N113" s="2" t="str">
        <f t="shared" si="9"/>
        <v>Pass</v>
      </c>
      <c r="O113" s="2">
        <f t="shared" si="10"/>
        <v>13</v>
      </c>
      <c r="P113" s="2">
        <f t="shared" si="11"/>
        <v>75.543859649122808</v>
      </c>
    </row>
    <row r="114" spans="1:16" x14ac:dyDescent="0.3">
      <c r="A114" s="2" t="s">
        <v>128</v>
      </c>
      <c r="B114" s="2" t="s">
        <v>146</v>
      </c>
      <c r="C114" s="2" t="s">
        <v>151</v>
      </c>
      <c r="D114" s="9">
        <v>0.74</v>
      </c>
      <c r="E114" s="2" t="s">
        <v>156</v>
      </c>
      <c r="F114" s="2" t="s">
        <v>159</v>
      </c>
      <c r="G114" s="2">
        <v>72</v>
      </c>
      <c r="H114" s="2">
        <v>82</v>
      </c>
      <c r="I114" s="2">
        <v>58</v>
      </c>
      <c r="J114" s="2">
        <f t="shared" si="6"/>
        <v>212</v>
      </c>
      <c r="K114" s="2">
        <v>300</v>
      </c>
      <c r="L114" s="2">
        <f t="shared" si="7"/>
        <v>70.666666666666671</v>
      </c>
      <c r="M114" s="2" t="str">
        <f t="shared" si="8"/>
        <v>C</v>
      </c>
      <c r="N114" s="2" t="str">
        <f t="shared" si="9"/>
        <v>Pass</v>
      </c>
      <c r="O114" s="2">
        <f t="shared" si="10"/>
        <v>13</v>
      </c>
      <c r="P114" s="2">
        <f t="shared" si="11"/>
        <v>75.796296296296291</v>
      </c>
    </row>
    <row r="115" spans="1:16" x14ac:dyDescent="0.3">
      <c r="A115" s="2" t="s">
        <v>129</v>
      </c>
      <c r="B115" s="2" t="s">
        <v>147</v>
      </c>
      <c r="C115" s="2" t="s">
        <v>149</v>
      </c>
      <c r="D115" s="9">
        <v>0.78</v>
      </c>
      <c r="E115" s="2" t="s">
        <v>157</v>
      </c>
      <c r="F115" s="2" t="s">
        <v>159</v>
      </c>
      <c r="G115" s="2">
        <v>91</v>
      </c>
      <c r="H115" s="2">
        <v>91</v>
      </c>
      <c r="I115" s="2">
        <v>88</v>
      </c>
      <c r="J115" s="2">
        <f t="shared" si="6"/>
        <v>270</v>
      </c>
      <c r="K115" s="2">
        <v>300</v>
      </c>
      <c r="L115" s="2">
        <f t="shared" si="7"/>
        <v>90</v>
      </c>
      <c r="M115" s="2" t="str">
        <f t="shared" si="8"/>
        <v>B</v>
      </c>
      <c r="N115" s="2" t="str">
        <f t="shared" si="9"/>
        <v>Pass</v>
      </c>
      <c r="O115" s="2">
        <f t="shared" si="10"/>
        <v>1</v>
      </c>
      <c r="P115" s="2">
        <f t="shared" si="11"/>
        <v>76.098039215686285</v>
      </c>
    </row>
    <row r="116" spans="1:16" x14ac:dyDescent="0.3">
      <c r="A116" s="2" t="s">
        <v>130</v>
      </c>
      <c r="B116" s="2" t="s">
        <v>146</v>
      </c>
      <c r="C116" s="2" t="s">
        <v>152</v>
      </c>
      <c r="D116" s="9">
        <v>0.64</v>
      </c>
      <c r="E116" s="2" t="s">
        <v>154</v>
      </c>
      <c r="F116" s="2" t="s">
        <v>158</v>
      </c>
      <c r="G116" s="2">
        <v>95</v>
      </c>
      <c r="H116" s="2">
        <v>85</v>
      </c>
      <c r="I116" s="2">
        <v>79</v>
      </c>
      <c r="J116" s="2">
        <f t="shared" si="6"/>
        <v>259</v>
      </c>
      <c r="K116" s="2">
        <v>300</v>
      </c>
      <c r="L116" s="2">
        <f t="shared" si="7"/>
        <v>86.333333333333329</v>
      </c>
      <c r="M116" s="2" t="str">
        <f t="shared" si="8"/>
        <v>B</v>
      </c>
      <c r="N116" s="2" t="str">
        <f t="shared" si="9"/>
        <v>Pass</v>
      </c>
      <c r="O116" s="2">
        <f t="shared" si="10"/>
        <v>1</v>
      </c>
      <c r="P116" s="2">
        <f t="shared" si="11"/>
        <v>75.229166666666671</v>
      </c>
    </row>
    <row r="117" spans="1:16" x14ac:dyDescent="0.3">
      <c r="A117" s="2" t="s">
        <v>131</v>
      </c>
      <c r="B117" s="2" t="s">
        <v>147</v>
      </c>
      <c r="C117" s="2" t="s">
        <v>148</v>
      </c>
      <c r="D117" s="9">
        <v>0.22</v>
      </c>
      <c r="E117" s="2" t="s">
        <v>154</v>
      </c>
      <c r="F117" s="2" t="s">
        <v>159</v>
      </c>
      <c r="G117" s="2">
        <v>99</v>
      </c>
      <c r="H117" s="2">
        <v>79</v>
      </c>
      <c r="I117" s="2">
        <v>68</v>
      </c>
      <c r="J117" s="2">
        <f t="shared" si="6"/>
        <v>246</v>
      </c>
      <c r="K117" s="2">
        <v>300</v>
      </c>
      <c r="L117" s="2">
        <f t="shared" si="7"/>
        <v>82</v>
      </c>
      <c r="M117" s="2" t="str">
        <f t="shared" si="8"/>
        <v>B</v>
      </c>
      <c r="N117" s="2" t="str">
        <f t="shared" si="9"/>
        <v>Pass</v>
      </c>
      <c r="O117" s="2">
        <f t="shared" si="10"/>
        <v>3</v>
      </c>
      <c r="P117" s="2">
        <f t="shared" si="11"/>
        <v>74.488888888888894</v>
      </c>
    </row>
    <row r="118" spans="1:16" x14ac:dyDescent="0.3">
      <c r="A118" s="2" t="s">
        <v>132</v>
      </c>
      <c r="B118" s="2" t="s">
        <v>147</v>
      </c>
      <c r="C118" s="2" t="s">
        <v>151</v>
      </c>
      <c r="D118" s="9">
        <v>0.74</v>
      </c>
      <c r="E118" s="2" t="s">
        <v>155</v>
      </c>
      <c r="F118" s="2" t="s">
        <v>158</v>
      </c>
      <c r="G118" s="2">
        <v>77</v>
      </c>
      <c r="H118" s="2">
        <v>60</v>
      </c>
      <c r="I118" s="2">
        <v>50</v>
      </c>
      <c r="J118" s="2">
        <f t="shared" si="6"/>
        <v>187</v>
      </c>
      <c r="K118" s="2">
        <v>300</v>
      </c>
      <c r="L118" s="2">
        <f t="shared" si="7"/>
        <v>62.333333333333329</v>
      </c>
      <c r="M118" s="2" t="str">
        <f t="shared" si="8"/>
        <v>D</v>
      </c>
      <c r="N118" s="2" t="str">
        <f t="shared" si="9"/>
        <v>Pass</v>
      </c>
      <c r="O118" s="2">
        <f t="shared" si="10"/>
        <v>13</v>
      </c>
      <c r="P118" s="2">
        <f t="shared" si="11"/>
        <v>73.952380952380949</v>
      </c>
    </row>
    <row r="119" spans="1:16" x14ac:dyDescent="0.3">
      <c r="A119" s="2" t="s">
        <v>133</v>
      </c>
      <c r="B119" s="2" t="s">
        <v>147</v>
      </c>
      <c r="C119" s="2" t="s">
        <v>149</v>
      </c>
      <c r="D119" s="9">
        <v>0.8</v>
      </c>
      <c r="E119" s="2" t="s">
        <v>156</v>
      </c>
      <c r="F119" s="2" t="s">
        <v>158</v>
      </c>
      <c r="G119" s="2">
        <v>57</v>
      </c>
      <c r="H119" s="2">
        <v>59</v>
      </c>
      <c r="I119" s="2">
        <v>80</v>
      </c>
      <c r="J119" s="2">
        <f t="shared" si="6"/>
        <v>196</v>
      </c>
      <c r="K119" s="2">
        <v>300</v>
      </c>
      <c r="L119" s="2">
        <f t="shared" si="7"/>
        <v>65.333333333333329</v>
      </c>
      <c r="M119" s="2" t="str">
        <f t="shared" si="8"/>
        <v>D</v>
      </c>
      <c r="N119" s="2" t="str">
        <f t="shared" si="9"/>
        <v>Pass</v>
      </c>
      <c r="O119" s="2">
        <f t="shared" si="10"/>
        <v>12</v>
      </c>
      <c r="P119" s="2">
        <f t="shared" si="11"/>
        <v>74.84615384615384</v>
      </c>
    </row>
    <row r="120" spans="1:16" x14ac:dyDescent="0.3">
      <c r="A120" s="2" t="s">
        <v>134</v>
      </c>
      <c r="B120" s="2" t="s">
        <v>146</v>
      </c>
      <c r="C120" s="2" t="s">
        <v>150</v>
      </c>
      <c r="D120" s="9">
        <v>0.55000000000000004</v>
      </c>
      <c r="E120" s="2" t="s">
        <v>155</v>
      </c>
      <c r="F120" s="2" t="s">
        <v>159</v>
      </c>
      <c r="G120" s="2">
        <v>98</v>
      </c>
      <c r="H120" s="2">
        <v>69</v>
      </c>
      <c r="I120" s="2">
        <v>79</v>
      </c>
      <c r="J120" s="2">
        <f t="shared" si="6"/>
        <v>246</v>
      </c>
      <c r="K120" s="2">
        <v>300</v>
      </c>
      <c r="L120" s="2">
        <f t="shared" si="7"/>
        <v>82</v>
      </c>
      <c r="M120" s="2" t="str">
        <f t="shared" si="8"/>
        <v>B</v>
      </c>
      <c r="N120" s="2" t="str">
        <f t="shared" si="9"/>
        <v>Pass</v>
      </c>
      <c r="O120" s="2">
        <f t="shared" si="10"/>
        <v>3</v>
      </c>
      <c r="P120" s="2">
        <f t="shared" si="11"/>
        <v>75.638888888888886</v>
      </c>
    </row>
    <row r="121" spans="1:16" x14ac:dyDescent="0.3">
      <c r="A121" s="2" t="s">
        <v>135</v>
      </c>
      <c r="B121" s="2" t="s">
        <v>146</v>
      </c>
      <c r="C121" s="2" t="s">
        <v>149</v>
      </c>
      <c r="D121" s="9">
        <v>0.43</v>
      </c>
      <c r="E121" s="2" t="s">
        <v>154</v>
      </c>
      <c r="F121" s="2" t="s">
        <v>159</v>
      </c>
      <c r="G121" s="2">
        <v>88</v>
      </c>
      <c r="H121" s="2">
        <v>68</v>
      </c>
      <c r="I121" s="2">
        <v>83</v>
      </c>
      <c r="J121" s="2">
        <f t="shared" si="6"/>
        <v>239</v>
      </c>
      <c r="K121" s="2">
        <v>300</v>
      </c>
      <c r="L121" s="2">
        <f t="shared" si="7"/>
        <v>79.666666666666657</v>
      </c>
      <c r="M121" s="2" t="str">
        <f t="shared" si="8"/>
        <v>C</v>
      </c>
      <c r="N121" s="2" t="str">
        <f t="shared" si="9"/>
        <v>Pass</v>
      </c>
      <c r="O121" s="2">
        <f t="shared" si="10"/>
        <v>3</v>
      </c>
      <c r="P121" s="2">
        <f t="shared" si="11"/>
        <v>75.060606060606062</v>
      </c>
    </row>
    <row r="122" spans="1:16" x14ac:dyDescent="0.3">
      <c r="A122" s="2" t="s">
        <v>136</v>
      </c>
      <c r="B122" s="2" t="s">
        <v>147</v>
      </c>
      <c r="C122" s="2" t="s">
        <v>152</v>
      </c>
      <c r="D122" s="9">
        <v>0.61</v>
      </c>
      <c r="E122" s="2" t="s">
        <v>154</v>
      </c>
      <c r="F122" s="2" t="s">
        <v>158</v>
      </c>
      <c r="G122" s="2">
        <v>69</v>
      </c>
      <c r="H122" s="2">
        <v>60</v>
      </c>
      <c r="I122" s="2">
        <v>82</v>
      </c>
      <c r="J122" s="2">
        <f t="shared" si="6"/>
        <v>211</v>
      </c>
      <c r="K122" s="2">
        <v>300</v>
      </c>
      <c r="L122" s="2">
        <f t="shared" si="7"/>
        <v>70.333333333333343</v>
      </c>
      <c r="M122" s="2" t="str">
        <f t="shared" si="8"/>
        <v>C</v>
      </c>
      <c r="N122" s="2" t="str">
        <f t="shared" si="9"/>
        <v>Pass</v>
      </c>
      <c r="O122" s="2">
        <f t="shared" si="10"/>
        <v>8</v>
      </c>
      <c r="P122" s="2">
        <f t="shared" si="11"/>
        <v>74.599999999999994</v>
      </c>
    </row>
    <row r="123" spans="1:16" x14ac:dyDescent="0.3">
      <c r="A123" s="2" t="s">
        <v>137</v>
      </c>
      <c r="B123" s="2" t="s">
        <v>147</v>
      </c>
      <c r="C123" s="2" t="s">
        <v>149</v>
      </c>
      <c r="D123" s="9">
        <v>0.44</v>
      </c>
      <c r="E123" s="2" t="s">
        <v>156</v>
      </c>
      <c r="F123" s="2" t="s">
        <v>159</v>
      </c>
      <c r="G123" s="2">
        <v>73</v>
      </c>
      <c r="H123" s="2">
        <v>85</v>
      </c>
      <c r="I123" s="2">
        <v>91</v>
      </c>
      <c r="J123" s="2">
        <f t="shared" si="6"/>
        <v>249</v>
      </c>
      <c r="K123" s="2">
        <v>300</v>
      </c>
      <c r="L123" s="2">
        <f t="shared" si="7"/>
        <v>83</v>
      </c>
      <c r="M123" s="2" t="str">
        <f t="shared" si="8"/>
        <v>B</v>
      </c>
      <c r="N123" s="2" t="str">
        <f t="shared" si="9"/>
        <v>Pass</v>
      </c>
      <c r="O123" s="2">
        <f t="shared" si="10"/>
        <v>1</v>
      </c>
      <c r="P123" s="2">
        <f t="shared" si="11"/>
        <v>75.074074074074076</v>
      </c>
    </row>
    <row r="124" spans="1:16" x14ac:dyDescent="0.3">
      <c r="A124" s="2" t="s">
        <v>138</v>
      </c>
      <c r="B124" s="2" t="s">
        <v>147</v>
      </c>
      <c r="C124" s="2" t="s">
        <v>151</v>
      </c>
      <c r="D124" s="9">
        <v>0.39</v>
      </c>
      <c r="E124" s="2" t="s">
        <v>157</v>
      </c>
      <c r="F124" s="2" t="s">
        <v>159</v>
      </c>
      <c r="G124" s="2">
        <v>32</v>
      </c>
      <c r="H124" s="2">
        <v>70</v>
      </c>
      <c r="I124" s="2">
        <v>85</v>
      </c>
      <c r="J124" s="2">
        <f t="shared" si="6"/>
        <v>187</v>
      </c>
      <c r="K124" s="2">
        <v>300</v>
      </c>
      <c r="L124" s="2">
        <f t="shared" si="7"/>
        <v>62.333333333333329</v>
      </c>
      <c r="M124" s="2" t="str">
        <f t="shared" si="8"/>
        <v>D</v>
      </c>
      <c r="N124" s="2" t="str">
        <f t="shared" si="9"/>
        <v>Pass</v>
      </c>
      <c r="O124" s="2">
        <f t="shared" si="10"/>
        <v>8</v>
      </c>
      <c r="P124" s="2">
        <f t="shared" si="11"/>
        <v>74.083333333333314</v>
      </c>
    </row>
    <row r="125" spans="1:16" x14ac:dyDescent="0.3">
      <c r="A125" s="2" t="s">
        <v>139</v>
      </c>
      <c r="B125" s="2" t="s">
        <v>146</v>
      </c>
      <c r="C125" s="2" t="s">
        <v>150</v>
      </c>
      <c r="D125" s="9">
        <v>0.86</v>
      </c>
      <c r="E125" s="2" t="s">
        <v>154</v>
      </c>
      <c r="F125" s="2" t="s">
        <v>158</v>
      </c>
      <c r="G125" s="2">
        <v>58</v>
      </c>
      <c r="H125" s="2">
        <v>89</v>
      </c>
      <c r="I125" s="2">
        <v>79</v>
      </c>
      <c r="J125" s="2">
        <f t="shared" si="6"/>
        <v>226</v>
      </c>
      <c r="K125" s="2">
        <v>300</v>
      </c>
      <c r="L125" s="2">
        <f t="shared" si="7"/>
        <v>75.333333333333329</v>
      </c>
      <c r="M125" s="2" t="str">
        <f t="shared" si="8"/>
        <v>C</v>
      </c>
      <c r="N125" s="2" t="str">
        <f t="shared" si="9"/>
        <v>Pass</v>
      </c>
      <c r="O125" s="2">
        <f t="shared" si="10"/>
        <v>5</v>
      </c>
      <c r="P125" s="2">
        <f t="shared" si="11"/>
        <v>75.761904761904745</v>
      </c>
    </row>
    <row r="126" spans="1:16" x14ac:dyDescent="0.3">
      <c r="A126" s="2" t="s">
        <v>140</v>
      </c>
      <c r="B126" s="2" t="s">
        <v>146</v>
      </c>
      <c r="C126" s="2" t="s">
        <v>152</v>
      </c>
      <c r="D126" s="9">
        <v>0.79</v>
      </c>
      <c r="E126" s="2" t="s">
        <v>156</v>
      </c>
      <c r="F126" s="2" t="s">
        <v>159</v>
      </c>
      <c r="G126" s="2">
        <v>46</v>
      </c>
      <c r="H126" s="2">
        <v>97</v>
      </c>
      <c r="I126" s="2">
        <v>60</v>
      </c>
      <c r="J126" s="2">
        <f t="shared" si="6"/>
        <v>203</v>
      </c>
      <c r="K126" s="2">
        <v>300</v>
      </c>
      <c r="L126" s="2">
        <f t="shared" si="7"/>
        <v>67.666666666666657</v>
      </c>
      <c r="M126" s="2" t="str">
        <f t="shared" si="8"/>
        <v>D</v>
      </c>
      <c r="N126" s="2" t="str">
        <f t="shared" si="9"/>
        <v>Pass</v>
      </c>
      <c r="O126" s="2">
        <f t="shared" si="10"/>
        <v>6</v>
      </c>
      <c r="P126" s="2">
        <f t="shared" si="11"/>
        <v>75.833333333333343</v>
      </c>
    </row>
    <row r="127" spans="1:16" x14ac:dyDescent="0.3">
      <c r="A127" s="2" t="s">
        <v>141</v>
      </c>
      <c r="B127" s="2" t="s">
        <v>146</v>
      </c>
      <c r="C127" s="2" t="s">
        <v>148</v>
      </c>
      <c r="D127" s="9">
        <v>0.89</v>
      </c>
      <c r="E127" s="2" t="s">
        <v>155</v>
      </c>
      <c r="F127" s="2" t="s">
        <v>158</v>
      </c>
      <c r="G127" s="2">
        <v>80</v>
      </c>
      <c r="H127" s="2">
        <v>93</v>
      </c>
      <c r="I127" s="2">
        <v>59</v>
      </c>
      <c r="J127" s="2">
        <f t="shared" si="6"/>
        <v>232</v>
      </c>
      <c r="K127" s="2">
        <v>300</v>
      </c>
      <c r="L127" s="2">
        <f t="shared" si="7"/>
        <v>77.333333333333329</v>
      </c>
      <c r="M127" s="2" t="str">
        <f t="shared" si="8"/>
        <v>C</v>
      </c>
      <c r="N127" s="2" t="str">
        <f t="shared" si="9"/>
        <v>Pass</v>
      </c>
      <c r="O127" s="2">
        <f t="shared" si="10"/>
        <v>4</v>
      </c>
      <c r="P127" s="2">
        <f t="shared" si="11"/>
        <v>77.466666666666669</v>
      </c>
    </row>
    <row r="128" spans="1:16" x14ac:dyDescent="0.3">
      <c r="A128" s="2" t="s">
        <v>142</v>
      </c>
      <c r="B128" s="2" t="s">
        <v>147</v>
      </c>
      <c r="C128" s="2" t="s">
        <v>151</v>
      </c>
      <c r="D128" s="9">
        <v>0.9</v>
      </c>
      <c r="E128" s="2" t="s">
        <v>156</v>
      </c>
      <c r="F128" s="2" t="s">
        <v>158</v>
      </c>
      <c r="G128" s="2">
        <v>99</v>
      </c>
      <c r="H128" s="2">
        <v>65</v>
      </c>
      <c r="I128" s="2">
        <v>69</v>
      </c>
      <c r="J128" s="2">
        <f t="shared" si="6"/>
        <v>233</v>
      </c>
      <c r="K128" s="2">
        <v>300</v>
      </c>
      <c r="L128" s="2">
        <f t="shared" si="7"/>
        <v>77.666666666666657</v>
      </c>
      <c r="M128" s="2" t="str">
        <f t="shared" si="8"/>
        <v>C</v>
      </c>
      <c r="N128" s="2" t="str">
        <f t="shared" si="9"/>
        <v>Pass</v>
      </c>
      <c r="O128" s="2">
        <f t="shared" si="10"/>
        <v>3</v>
      </c>
      <c r="P128" s="2">
        <f t="shared" si="11"/>
        <v>77.5</v>
      </c>
    </row>
    <row r="129" spans="1:16" x14ac:dyDescent="0.3">
      <c r="A129" s="2" t="s">
        <v>143</v>
      </c>
      <c r="B129" s="2" t="s">
        <v>147</v>
      </c>
      <c r="C129" s="2" t="s">
        <v>149</v>
      </c>
      <c r="D129" s="9">
        <v>0.82</v>
      </c>
      <c r="E129" s="2" t="s">
        <v>154</v>
      </c>
      <c r="F129" s="2" t="s">
        <v>159</v>
      </c>
      <c r="G129" s="2">
        <v>68</v>
      </c>
      <c r="H129" s="2">
        <v>99</v>
      </c>
      <c r="I129" s="2">
        <v>68</v>
      </c>
      <c r="J129" s="2">
        <f t="shared" si="6"/>
        <v>235</v>
      </c>
      <c r="K129" s="2">
        <v>300</v>
      </c>
      <c r="L129" s="2">
        <f t="shared" si="7"/>
        <v>78.333333333333329</v>
      </c>
      <c r="M129" s="2" t="str">
        <f t="shared" si="8"/>
        <v>C</v>
      </c>
      <c r="N129" s="2" t="str">
        <f t="shared" si="9"/>
        <v>Pass</v>
      </c>
      <c r="O129" s="2">
        <f t="shared" si="10"/>
        <v>2</v>
      </c>
      <c r="P129" s="2">
        <f t="shared" si="11"/>
        <v>77.444444444444457</v>
      </c>
    </row>
    <row r="130" spans="1:16" x14ac:dyDescent="0.3">
      <c r="A130" s="2" t="s">
        <v>144</v>
      </c>
      <c r="B130" s="2" t="s">
        <v>147</v>
      </c>
      <c r="C130" s="2" t="s">
        <v>150</v>
      </c>
      <c r="D130" s="9">
        <v>0.99</v>
      </c>
      <c r="E130" s="2" t="s">
        <v>155</v>
      </c>
      <c r="F130" s="2" t="s">
        <v>159</v>
      </c>
      <c r="G130" s="2">
        <v>73</v>
      </c>
      <c r="H130" s="2">
        <v>81</v>
      </c>
      <c r="I130" s="2">
        <v>60</v>
      </c>
      <c r="J130" s="2">
        <f t="shared" si="6"/>
        <v>214</v>
      </c>
      <c r="K130" s="2">
        <v>300</v>
      </c>
      <c r="L130" s="2">
        <f t="shared" si="7"/>
        <v>71.333333333333343</v>
      </c>
      <c r="M130" s="2" t="str">
        <f t="shared" si="8"/>
        <v>C</v>
      </c>
      <c r="N130" s="2" t="str">
        <f t="shared" si="9"/>
        <v>Pass</v>
      </c>
      <c r="O130" s="2">
        <f t="shared" si="10"/>
        <v>2</v>
      </c>
      <c r="P130" s="2">
        <f t="shared" si="11"/>
        <v>77</v>
      </c>
    </row>
    <row r="131" spans="1:16" x14ac:dyDescent="0.3">
      <c r="A131" s="2" t="s">
        <v>145</v>
      </c>
      <c r="B131" s="2" t="s">
        <v>146</v>
      </c>
      <c r="C131" s="2" t="s">
        <v>149</v>
      </c>
      <c r="D131" s="9">
        <v>0.64</v>
      </c>
      <c r="E131" s="2" t="s">
        <v>154</v>
      </c>
      <c r="F131" s="2" t="s">
        <v>158</v>
      </c>
      <c r="G131" s="2">
        <v>52</v>
      </c>
      <c r="H131" s="2">
        <v>97</v>
      </c>
      <c r="I131" s="2">
        <v>99</v>
      </c>
      <c r="J131" s="2">
        <f t="shared" ref="J131" si="12">SUM(G131:I131)</f>
        <v>248</v>
      </c>
      <c r="K131" s="2">
        <v>300</v>
      </c>
      <c r="L131" s="2">
        <f t="shared" ref="L131" si="13">SUM(J131/K131*100)</f>
        <v>82.666666666666671</v>
      </c>
      <c r="M131" s="2" t="str">
        <f t="shared" ref="M131" si="14">IF(L131&gt;90,"A", IF(L131&gt;80,"B", IF(L131&gt;70,"C", IF(L131&gt;60,"D", IF(L131&gt;40,"F")))))</f>
        <v>B</v>
      </c>
      <c r="N131" s="2" t="str">
        <f t="shared" ref="N131" si="15">IF(L131&gt;60, "Pass", "Fail")</f>
        <v>Pass</v>
      </c>
      <c r="O131" s="2">
        <f t="shared" ref="O131" si="16">RANK(L131,L131:L260,0)</f>
        <v>1</v>
      </c>
      <c r="P131" s="2">
        <f t="shared" ref="P131" si="17">AVERAGE(L131:L260)</f>
        <v>82.666666666666671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065D-9451-45A6-A71F-36EA1C928AC8}">
  <dimension ref="A1:M653"/>
  <sheetViews>
    <sheetView tabSelected="1" zoomScale="36" workbookViewId="0">
      <selection activeCell="L130" sqref="L130"/>
    </sheetView>
  </sheetViews>
  <sheetFormatPr defaultRowHeight="14.4" x14ac:dyDescent="0.3"/>
  <cols>
    <col min="1" max="1" width="15.109375" bestFit="1" customWidth="1"/>
    <col min="2" max="2" width="16.77734375" bestFit="1" customWidth="1"/>
    <col min="3" max="3" width="14" bestFit="1" customWidth="1"/>
    <col min="5" max="6" width="12.44140625" bestFit="1" customWidth="1"/>
    <col min="7" max="7" width="13.5546875" bestFit="1" customWidth="1"/>
    <col min="8" max="8" width="13.77734375" bestFit="1" customWidth="1"/>
    <col min="10" max="10" width="14.44140625" bestFit="1" customWidth="1"/>
    <col min="11" max="11" width="16.109375" bestFit="1" customWidth="1"/>
    <col min="12" max="13" width="12.77734375" bestFit="1" customWidth="1"/>
  </cols>
  <sheetData>
    <row r="1" spans="1:13" x14ac:dyDescent="0.3">
      <c r="A1" s="11"/>
      <c r="B1" s="11"/>
      <c r="C1" s="11"/>
      <c r="E1" s="10" t="s">
        <v>174</v>
      </c>
      <c r="F1" s="11"/>
      <c r="G1" s="11"/>
      <c r="H1" s="11"/>
      <c r="J1" s="1" t="s">
        <v>165</v>
      </c>
      <c r="K1" s="1" t="s">
        <v>175</v>
      </c>
      <c r="L1" s="2"/>
      <c r="M1" s="2"/>
    </row>
    <row r="2" spans="1:13" x14ac:dyDescent="0.3">
      <c r="A2" s="1" t="s">
        <v>160</v>
      </c>
      <c r="B2" s="1" t="s">
        <v>173</v>
      </c>
      <c r="C2" s="2" t="s">
        <v>165</v>
      </c>
      <c r="E2" s="1" t="s">
        <v>160</v>
      </c>
      <c r="F2" s="1" t="s">
        <v>162</v>
      </c>
      <c r="G2" s="2" t="s">
        <v>163</v>
      </c>
      <c r="H2" s="2" t="s">
        <v>164</v>
      </c>
      <c r="J2" s="1" t="s">
        <v>160</v>
      </c>
      <c r="K2" s="2" t="s">
        <v>147</v>
      </c>
      <c r="L2" s="2" t="s">
        <v>146</v>
      </c>
      <c r="M2" s="2" t="s">
        <v>161</v>
      </c>
    </row>
    <row r="3" spans="1:13" x14ac:dyDescent="0.3">
      <c r="A3" s="3" t="s">
        <v>16</v>
      </c>
      <c r="B3" s="2">
        <v>88.666666666666671</v>
      </c>
      <c r="C3" s="2">
        <v>75.56153846153849</v>
      </c>
      <c r="E3" s="3" t="s">
        <v>16</v>
      </c>
      <c r="F3" s="2">
        <v>77</v>
      </c>
      <c r="G3" s="2">
        <v>99</v>
      </c>
      <c r="H3" s="2">
        <v>90</v>
      </c>
      <c r="J3" s="3" t="s">
        <v>16</v>
      </c>
      <c r="K3" s="2"/>
      <c r="L3" s="2">
        <v>75.56153846153849</v>
      </c>
      <c r="M3" s="2">
        <v>75.56153846153849</v>
      </c>
    </row>
    <row r="4" spans="1:13" x14ac:dyDescent="0.3">
      <c r="A4" s="4" t="s">
        <v>149</v>
      </c>
      <c r="B4" s="2">
        <v>88.666666666666671</v>
      </c>
      <c r="C4" s="2">
        <v>75.56153846153849</v>
      </c>
      <c r="E4" s="3" t="s">
        <v>17</v>
      </c>
      <c r="F4" s="2">
        <v>57</v>
      </c>
      <c r="G4" s="2">
        <v>68</v>
      </c>
      <c r="H4" s="2">
        <v>69</v>
      </c>
      <c r="J4" s="3" t="s">
        <v>17</v>
      </c>
      <c r="K4" s="2"/>
      <c r="L4" s="2">
        <v>75.459948320413474</v>
      </c>
      <c r="M4" s="2">
        <v>75.459948320413474</v>
      </c>
    </row>
    <row r="5" spans="1:13" x14ac:dyDescent="0.3">
      <c r="A5" s="5" t="s">
        <v>158</v>
      </c>
      <c r="B5" s="2">
        <v>88.666666666666671</v>
      </c>
      <c r="C5" s="2">
        <v>75.56153846153849</v>
      </c>
      <c r="E5" s="3" t="s">
        <v>18</v>
      </c>
      <c r="F5" s="2">
        <v>98</v>
      </c>
      <c r="G5" s="2">
        <v>73</v>
      </c>
      <c r="H5" s="2">
        <v>79</v>
      </c>
      <c r="J5" s="3" t="s">
        <v>18</v>
      </c>
      <c r="K5" s="2">
        <v>75.544270833333371</v>
      </c>
      <c r="L5" s="2"/>
      <c r="M5" s="2">
        <v>75.544270833333371</v>
      </c>
    </row>
    <row r="6" spans="1:13" x14ac:dyDescent="0.3">
      <c r="A6" s="6" t="s">
        <v>168</v>
      </c>
      <c r="B6" s="2">
        <v>88.666666666666671</v>
      </c>
      <c r="C6" s="2">
        <v>75.56153846153849</v>
      </c>
      <c r="E6" s="3" t="s">
        <v>19</v>
      </c>
      <c r="F6" s="2">
        <v>88</v>
      </c>
      <c r="G6" s="2">
        <v>79</v>
      </c>
      <c r="H6" s="2">
        <v>68</v>
      </c>
      <c r="J6" s="3" t="s">
        <v>19</v>
      </c>
      <c r="K6" s="2"/>
      <c r="L6" s="2">
        <v>75.482939632545978</v>
      </c>
      <c r="M6" s="2">
        <v>75.482939632545978</v>
      </c>
    </row>
    <row r="7" spans="1:13" x14ac:dyDescent="0.3">
      <c r="A7" s="7" t="s">
        <v>166</v>
      </c>
      <c r="B7" s="2">
        <v>88.666666666666671</v>
      </c>
      <c r="C7" s="2">
        <v>75.56153846153849</v>
      </c>
      <c r="E7" s="3" t="s">
        <v>20</v>
      </c>
      <c r="F7" s="2">
        <v>69</v>
      </c>
      <c r="G7" s="2">
        <v>69</v>
      </c>
      <c r="H7" s="2">
        <v>84</v>
      </c>
      <c r="J7" s="3" t="s">
        <v>20</v>
      </c>
      <c r="K7" s="2">
        <v>75.460317460317498</v>
      </c>
      <c r="L7" s="2"/>
      <c r="M7" s="2">
        <v>75.460317460317498</v>
      </c>
    </row>
    <row r="8" spans="1:13" x14ac:dyDescent="0.3">
      <c r="A8" s="3" t="s">
        <v>17</v>
      </c>
      <c r="B8" s="2">
        <v>64.666666666666657</v>
      </c>
      <c r="C8" s="2">
        <v>75.459948320413474</v>
      </c>
      <c r="E8" s="3" t="s">
        <v>21</v>
      </c>
      <c r="F8" s="2">
        <v>73</v>
      </c>
      <c r="G8" s="2">
        <v>77</v>
      </c>
      <c r="H8" s="2">
        <v>91</v>
      </c>
      <c r="J8" s="3" t="s">
        <v>21</v>
      </c>
      <c r="K8" s="2">
        <v>75.472000000000037</v>
      </c>
      <c r="L8" s="2"/>
      <c r="M8" s="2">
        <v>75.472000000000037</v>
      </c>
    </row>
    <row r="9" spans="1:13" x14ac:dyDescent="0.3">
      <c r="A9" s="4" t="s">
        <v>150</v>
      </c>
      <c r="B9" s="2">
        <v>64.666666666666657</v>
      </c>
      <c r="C9" s="2">
        <v>75.459948320413474</v>
      </c>
      <c r="E9" s="3" t="s">
        <v>22</v>
      </c>
      <c r="F9" s="2">
        <v>32</v>
      </c>
      <c r="G9" s="2">
        <v>88</v>
      </c>
      <c r="H9" s="2">
        <v>70</v>
      </c>
      <c r="J9" s="3" t="s">
        <v>22</v>
      </c>
      <c r="K9" s="2"/>
      <c r="L9" s="2">
        <v>75.432795698924764</v>
      </c>
      <c r="M9" s="2">
        <v>75.432795698924764</v>
      </c>
    </row>
    <row r="10" spans="1:13" x14ac:dyDescent="0.3">
      <c r="A10" s="5" t="s">
        <v>159</v>
      </c>
      <c r="B10" s="2">
        <v>64.666666666666657</v>
      </c>
      <c r="C10" s="2">
        <v>75.459948320413474</v>
      </c>
      <c r="E10" s="3" t="s">
        <v>23</v>
      </c>
      <c r="F10" s="2">
        <v>58</v>
      </c>
      <c r="G10" s="2">
        <v>92</v>
      </c>
      <c r="H10" s="2">
        <v>70</v>
      </c>
      <c r="J10" s="3" t="s">
        <v>23</v>
      </c>
      <c r="K10" s="2">
        <v>75.531165311653169</v>
      </c>
      <c r="L10" s="2"/>
      <c r="M10" s="2">
        <v>75.531165311653169</v>
      </c>
    </row>
    <row r="11" spans="1:13" x14ac:dyDescent="0.3">
      <c r="A11" s="6" t="s">
        <v>169</v>
      </c>
      <c r="B11" s="2">
        <v>64.666666666666657</v>
      </c>
      <c r="C11" s="2">
        <v>75.459948320413474</v>
      </c>
      <c r="E11" s="3" t="s">
        <v>24</v>
      </c>
      <c r="F11" s="2">
        <v>46</v>
      </c>
      <c r="G11" s="2">
        <v>94</v>
      </c>
      <c r="H11" s="2">
        <v>80</v>
      </c>
      <c r="J11" s="3" t="s">
        <v>24</v>
      </c>
      <c r="K11" s="2"/>
      <c r="L11" s="2">
        <v>75.549180327868896</v>
      </c>
      <c r="M11" s="2">
        <v>75.549180327868896</v>
      </c>
    </row>
    <row r="12" spans="1:13" x14ac:dyDescent="0.3">
      <c r="A12" s="7" t="s">
        <v>166</v>
      </c>
      <c r="B12" s="2">
        <v>64.666666666666657</v>
      </c>
      <c r="C12" s="2">
        <v>75.459948320413474</v>
      </c>
      <c r="E12" s="3" t="s">
        <v>25</v>
      </c>
      <c r="F12" s="2">
        <v>80</v>
      </c>
      <c r="G12" s="2">
        <v>60</v>
      </c>
      <c r="H12" s="2">
        <v>95</v>
      </c>
      <c r="J12" s="3" t="s">
        <v>25</v>
      </c>
      <c r="K12" s="2"/>
      <c r="L12" s="2">
        <v>75.567493112947702</v>
      </c>
      <c r="M12" s="2">
        <v>75.567493112947702</v>
      </c>
    </row>
    <row r="13" spans="1:13" x14ac:dyDescent="0.3">
      <c r="A13" s="3" t="s">
        <v>18</v>
      </c>
      <c r="B13" s="2">
        <v>83.333333333333343</v>
      </c>
      <c r="C13" s="2">
        <v>75.544270833333371</v>
      </c>
      <c r="E13" s="3" t="s">
        <v>26</v>
      </c>
      <c r="F13" s="2">
        <v>99</v>
      </c>
      <c r="G13" s="2">
        <v>96</v>
      </c>
      <c r="H13" s="2">
        <v>92</v>
      </c>
      <c r="J13" s="3" t="s">
        <v>26</v>
      </c>
      <c r="K13" s="2">
        <v>75.544444444444466</v>
      </c>
      <c r="L13" s="2"/>
      <c r="M13" s="2">
        <v>75.544444444444466</v>
      </c>
    </row>
    <row r="14" spans="1:13" x14ac:dyDescent="0.3">
      <c r="A14" s="4" t="s">
        <v>151</v>
      </c>
      <c r="B14" s="2">
        <v>83.333333333333343</v>
      </c>
      <c r="C14" s="2">
        <v>75.544270833333371</v>
      </c>
      <c r="E14" s="3" t="s">
        <v>27</v>
      </c>
      <c r="F14" s="2">
        <v>68</v>
      </c>
      <c r="G14" s="2">
        <v>80</v>
      </c>
      <c r="H14" s="2">
        <v>83</v>
      </c>
      <c r="J14" s="3" t="s">
        <v>27</v>
      </c>
      <c r="K14" s="2">
        <v>75.375350140056057</v>
      </c>
      <c r="L14" s="2"/>
      <c r="M14" s="2">
        <v>75.375350140056057</v>
      </c>
    </row>
    <row r="15" spans="1:13" x14ac:dyDescent="0.3">
      <c r="A15" s="5" t="s">
        <v>158</v>
      </c>
      <c r="B15" s="2">
        <v>83.333333333333343</v>
      </c>
      <c r="C15" s="2">
        <v>75.544270833333371</v>
      </c>
      <c r="E15" s="3" t="s">
        <v>28</v>
      </c>
      <c r="F15" s="2">
        <v>73</v>
      </c>
      <c r="G15" s="2">
        <v>79</v>
      </c>
      <c r="H15" s="2">
        <v>59</v>
      </c>
      <c r="J15" s="3" t="s">
        <v>28</v>
      </c>
      <c r="K15" s="2"/>
      <c r="L15" s="2">
        <v>75.361581920903987</v>
      </c>
      <c r="M15" s="2">
        <v>75.361581920903987</v>
      </c>
    </row>
    <row r="16" spans="1:13" x14ac:dyDescent="0.3">
      <c r="A16" s="6" t="s">
        <v>168</v>
      </c>
      <c r="B16" s="2">
        <v>83.333333333333343</v>
      </c>
      <c r="C16" s="2">
        <v>75.544270833333371</v>
      </c>
      <c r="E16" s="3" t="s">
        <v>29</v>
      </c>
      <c r="F16" s="2">
        <v>52</v>
      </c>
      <c r="G16" s="2">
        <v>72</v>
      </c>
      <c r="H16" s="2">
        <v>66</v>
      </c>
      <c r="J16" s="3" t="s">
        <v>29</v>
      </c>
      <c r="K16" s="2">
        <v>75.404558404558443</v>
      </c>
      <c r="L16" s="2"/>
      <c r="M16" s="2">
        <v>75.404558404558443</v>
      </c>
    </row>
    <row r="17" spans="1:13" x14ac:dyDescent="0.3">
      <c r="A17" s="7" t="s">
        <v>166</v>
      </c>
      <c r="B17" s="2">
        <v>83.333333333333343</v>
      </c>
      <c r="C17" s="2">
        <v>75.544270833333371</v>
      </c>
      <c r="E17" s="3" t="s">
        <v>30</v>
      </c>
      <c r="F17" s="2">
        <v>69</v>
      </c>
      <c r="G17" s="2">
        <v>99</v>
      </c>
      <c r="H17" s="2">
        <v>74</v>
      </c>
      <c r="J17" s="3" t="s">
        <v>30</v>
      </c>
      <c r="K17" s="2">
        <v>75.508620689655203</v>
      </c>
      <c r="L17" s="2"/>
      <c r="M17" s="2">
        <v>75.508620689655203</v>
      </c>
    </row>
    <row r="18" spans="1:13" x14ac:dyDescent="0.3">
      <c r="A18" s="3" t="s">
        <v>19</v>
      </c>
      <c r="B18" s="2">
        <v>78.333333333333329</v>
      </c>
      <c r="C18" s="2">
        <v>75.482939632545978</v>
      </c>
      <c r="E18" s="3" t="s">
        <v>31</v>
      </c>
      <c r="F18" s="2">
        <v>77</v>
      </c>
      <c r="G18" s="2">
        <v>66</v>
      </c>
      <c r="H18" s="2">
        <v>58</v>
      </c>
      <c r="J18" s="3" t="s">
        <v>31</v>
      </c>
      <c r="K18" s="2"/>
      <c r="L18" s="2">
        <v>75.463768115942045</v>
      </c>
      <c r="M18" s="2">
        <v>75.463768115942045</v>
      </c>
    </row>
    <row r="19" spans="1:13" x14ac:dyDescent="0.3">
      <c r="A19" s="4" t="s">
        <v>150</v>
      </c>
      <c r="B19" s="2">
        <v>78.333333333333329</v>
      </c>
      <c r="C19" s="2">
        <v>75.482939632545978</v>
      </c>
      <c r="E19" s="3" t="s">
        <v>32</v>
      </c>
      <c r="F19" s="2">
        <v>88</v>
      </c>
      <c r="G19" s="2">
        <v>89</v>
      </c>
      <c r="H19" s="2">
        <v>56</v>
      </c>
      <c r="J19" s="3" t="s">
        <v>32</v>
      </c>
      <c r="K19" s="2"/>
      <c r="L19" s="2">
        <v>75.538011695906448</v>
      </c>
      <c r="M19" s="2">
        <v>75.538011695906448</v>
      </c>
    </row>
    <row r="20" spans="1:13" x14ac:dyDescent="0.3">
      <c r="A20" s="5" t="s">
        <v>159</v>
      </c>
      <c r="B20" s="2">
        <v>78.333333333333329</v>
      </c>
      <c r="C20" s="2">
        <v>75.482939632545978</v>
      </c>
      <c r="E20" s="3" t="s">
        <v>33</v>
      </c>
      <c r="F20" s="2">
        <v>92</v>
      </c>
      <c r="G20" s="2">
        <v>62</v>
      </c>
      <c r="H20" s="2">
        <v>43</v>
      </c>
      <c r="J20" s="3" t="s">
        <v>33</v>
      </c>
      <c r="K20" s="2"/>
      <c r="L20" s="2">
        <v>75.519174041297958</v>
      </c>
      <c r="M20" s="2">
        <v>75.519174041297958</v>
      </c>
    </row>
    <row r="21" spans="1:13" x14ac:dyDescent="0.3">
      <c r="A21" s="6" t="s">
        <v>170</v>
      </c>
      <c r="B21" s="2">
        <v>78.333333333333329</v>
      </c>
      <c r="C21" s="2">
        <v>75.482939632545978</v>
      </c>
      <c r="E21" s="3" t="s">
        <v>34</v>
      </c>
      <c r="F21" s="2">
        <v>94</v>
      </c>
      <c r="G21" s="2">
        <v>56</v>
      </c>
      <c r="H21" s="2">
        <v>57</v>
      </c>
      <c r="J21" s="3" t="s">
        <v>34</v>
      </c>
      <c r="K21" s="2">
        <v>75.60714285714289</v>
      </c>
      <c r="L21" s="2"/>
      <c r="M21" s="2">
        <v>75.60714285714289</v>
      </c>
    </row>
    <row r="22" spans="1:13" x14ac:dyDescent="0.3">
      <c r="A22" s="7" t="s">
        <v>166</v>
      </c>
      <c r="B22" s="2">
        <v>78.333333333333329</v>
      </c>
      <c r="C22" s="2">
        <v>75.482939632545978</v>
      </c>
      <c r="E22" s="3" t="s">
        <v>35</v>
      </c>
      <c r="F22" s="2">
        <v>60</v>
      </c>
      <c r="G22" s="2">
        <v>84</v>
      </c>
      <c r="H22" s="2">
        <v>57</v>
      </c>
      <c r="J22" s="3" t="s">
        <v>35</v>
      </c>
      <c r="K22" s="2">
        <v>75.666666666666686</v>
      </c>
      <c r="L22" s="2"/>
      <c r="M22" s="2">
        <v>75.666666666666686</v>
      </c>
    </row>
    <row r="23" spans="1:13" x14ac:dyDescent="0.3">
      <c r="A23" s="3" t="s">
        <v>20</v>
      </c>
      <c r="B23" s="2">
        <v>74</v>
      </c>
      <c r="C23" s="2">
        <v>75.460317460317498</v>
      </c>
      <c r="E23" s="3" t="s">
        <v>36</v>
      </c>
      <c r="F23" s="2">
        <v>96</v>
      </c>
      <c r="G23" s="2">
        <v>86</v>
      </c>
      <c r="H23" s="2">
        <v>69</v>
      </c>
      <c r="J23" s="3" t="s">
        <v>36</v>
      </c>
      <c r="K23" s="2">
        <v>75.745454545454564</v>
      </c>
      <c r="L23" s="2"/>
      <c r="M23" s="2">
        <v>75.745454545454564</v>
      </c>
    </row>
    <row r="24" spans="1:13" x14ac:dyDescent="0.3">
      <c r="A24" s="4" t="s">
        <v>149</v>
      </c>
      <c r="B24" s="2">
        <v>74</v>
      </c>
      <c r="C24" s="2">
        <v>75.460317460317498</v>
      </c>
      <c r="E24" s="3" t="s">
        <v>37</v>
      </c>
      <c r="F24" s="2">
        <v>80</v>
      </c>
      <c r="G24" s="2">
        <v>91</v>
      </c>
      <c r="H24" s="2">
        <v>78</v>
      </c>
      <c r="J24" s="3" t="s">
        <v>37</v>
      </c>
      <c r="K24" s="2"/>
      <c r="L24" s="2">
        <v>75.672782874617752</v>
      </c>
      <c r="M24" s="2">
        <v>75.672782874617752</v>
      </c>
    </row>
    <row r="25" spans="1:13" x14ac:dyDescent="0.3">
      <c r="A25" s="5" t="s">
        <v>158</v>
      </c>
      <c r="B25" s="2">
        <v>74</v>
      </c>
      <c r="C25" s="2">
        <v>75.460317460317498</v>
      </c>
      <c r="E25" s="3" t="s">
        <v>38</v>
      </c>
      <c r="F25" s="2">
        <v>79</v>
      </c>
      <c r="G25" s="2">
        <v>70</v>
      </c>
      <c r="H25" s="2">
        <v>43</v>
      </c>
      <c r="J25" s="3" t="s">
        <v>38</v>
      </c>
      <c r="K25" s="2">
        <v>75.604938271604951</v>
      </c>
      <c r="L25" s="2"/>
      <c r="M25" s="2">
        <v>75.604938271604951</v>
      </c>
    </row>
    <row r="26" spans="1:13" x14ac:dyDescent="0.3">
      <c r="A26" s="6" t="s">
        <v>170</v>
      </c>
      <c r="B26" s="2">
        <v>74</v>
      </c>
      <c r="C26" s="2">
        <v>75.460317460317498</v>
      </c>
      <c r="E26" s="3" t="s">
        <v>39</v>
      </c>
      <c r="F26" s="2">
        <v>72</v>
      </c>
      <c r="G26" s="2">
        <v>70</v>
      </c>
      <c r="H26" s="2">
        <v>52</v>
      </c>
      <c r="J26" s="3" t="s">
        <v>39</v>
      </c>
      <c r="K26" s="2"/>
      <c r="L26" s="2">
        <v>75.713395638629294</v>
      </c>
      <c r="M26" s="2">
        <v>75.713395638629294</v>
      </c>
    </row>
    <row r="27" spans="1:13" x14ac:dyDescent="0.3">
      <c r="A27" s="7" t="s">
        <v>166</v>
      </c>
      <c r="B27" s="2">
        <v>74</v>
      </c>
      <c r="C27" s="2">
        <v>75.460317460317498</v>
      </c>
      <c r="E27" s="3" t="s">
        <v>40</v>
      </c>
      <c r="F27" s="2">
        <v>99</v>
      </c>
      <c r="G27" s="2">
        <v>80</v>
      </c>
      <c r="H27" s="2">
        <v>69</v>
      </c>
      <c r="J27" s="3" t="s">
        <v>40</v>
      </c>
      <c r="K27" s="2">
        <v>75.817610062893095</v>
      </c>
      <c r="L27" s="2"/>
      <c r="M27" s="2">
        <v>75.817610062893095</v>
      </c>
    </row>
    <row r="28" spans="1:13" x14ac:dyDescent="0.3">
      <c r="A28" s="3" t="s">
        <v>21</v>
      </c>
      <c r="B28" s="2">
        <v>80.333333333333329</v>
      </c>
      <c r="C28" s="2">
        <v>75.472000000000037</v>
      </c>
      <c r="E28" s="3" t="s">
        <v>41</v>
      </c>
      <c r="F28" s="2">
        <v>66</v>
      </c>
      <c r="G28" s="2">
        <v>95</v>
      </c>
      <c r="H28" s="2">
        <v>50</v>
      </c>
      <c r="J28" s="3" t="s">
        <v>41</v>
      </c>
      <c r="K28" s="2"/>
      <c r="L28" s="2">
        <v>75.75238095238096</v>
      </c>
      <c r="M28" s="2">
        <v>75.75238095238096</v>
      </c>
    </row>
    <row r="29" spans="1:13" x14ac:dyDescent="0.3">
      <c r="A29" s="4" t="s">
        <v>148</v>
      </c>
      <c r="B29" s="2">
        <v>80.333333333333329</v>
      </c>
      <c r="C29" s="2">
        <v>75.472000000000037</v>
      </c>
      <c r="E29" s="3" t="s">
        <v>42</v>
      </c>
      <c r="F29" s="2">
        <v>89</v>
      </c>
      <c r="G29" s="2">
        <v>92</v>
      </c>
      <c r="H29" s="2">
        <v>79</v>
      </c>
      <c r="J29" s="3" t="s">
        <v>42</v>
      </c>
      <c r="K29" s="2">
        <v>75.804487179487197</v>
      </c>
      <c r="L29" s="2"/>
      <c r="M29" s="2">
        <v>75.804487179487197</v>
      </c>
    </row>
    <row r="30" spans="1:13" x14ac:dyDescent="0.3">
      <c r="A30" s="5" t="s">
        <v>159</v>
      </c>
      <c r="B30" s="2">
        <v>80.333333333333329</v>
      </c>
      <c r="C30" s="2">
        <v>75.472000000000037</v>
      </c>
      <c r="E30" s="3" t="s">
        <v>43</v>
      </c>
      <c r="F30" s="2">
        <v>62</v>
      </c>
      <c r="G30" s="2">
        <v>83</v>
      </c>
      <c r="H30" s="2">
        <v>82</v>
      </c>
      <c r="J30" s="3" t="s">
        <v>43</v>
      </c>
      <c r="K30" s="2"/>
      <c r="L30" s="2">
        <v>75.699029126213617</v>
      </c>
      <c r="M30" s="2">
        <v>75.699029126213617</v>
      </c>
    </row>
    <row r="31" spans="1:13" x14ac:dyDescent="0.3">
      <c r="A31" s="6" t="s">
        <v>168</v>
      </c>
      <c r="B31" s="2">
        <v>80.333333333333329</v>
      </c>
      <c r="C31" s="2">
        <v>75.472000000000037</v>
      </c>
      <c r="E31" s="3" t="s">
        <v>44</v>
      </c>
      <c r="F31" s="2">
        <v>56</v>
      </c>
      <c r="G31" s="2">
        <v>59</v>
      </c>
      <c r="H31" s="2">
        <v>94</v>
      </c>
      <c r="J31" s="3" t="s">
        <v>44</v>
      </c>
      <c r="K31" s="2">
        <v>75.699346405228766</v>
      </c>
      <c r="L31" s="2"/>
      <c r="M31" s="2">
        <v>75.699346405228766</v>
      </c>
    </row>
    <row r="32" spans="1:13" x14ac:dyDescent="0.3">
      <c r="A32" s="7" t="s">
        <v>166</v>
      </c>
      <c r="B32" s="2">
        <v>80.333333333333329</v>
      </c>
      <c r="C32" s="2">
        <v>75.472000000000037</v>
      </c>
      <c r="E32" s="3" t="s">
        <v>45</v>
      </c>
      <c r="F32" s="2">
        <v>84</v>
      </c>
      <c r="G32" s="2">
        <v>66</v>
      </c>
      <c r="H32" s="2">
        <v>81</v>
      </c>
      <c r="J32" s="3" t="s">
        <v>45</v>
      </c>
      <c r="K32" s="2"/>
      <c r="L32" s="2">
        <v>75.75907590759077</v>
      </c>
      <c r="M32" s="2">
        <v>75.75907590759077</v>
      </c>
    </row>
    <row r="33" spans="1:13" x14ac:dyDescent="0.3">
      <c r="A33" s="3" t="s">
        <v>22</v>
      </c>
      <c r="B33" s="2">
        <v>63.333333333333329</v>
      </c>
      <c r="C33" s="2">
        <v>75.432795698924764</v>
      </c>
      <c r="E33" s="3" t="s">
        <v>46</v>
      </c>
      <c r="F33" s="2">
        <v>86</v>
      </c>
      <c r="G33" s="2">
        <v>74</v>
      </c>
      <c r="H33" s="2">
        <v>77</v>
      </c>
      <c r="J33" s="3" t="s">
        <v>46</v>
      </c>
      <c r="K33" s="2">
        <v>75.746666666666684</v>
      </c>
      <c r="L33" s="2"/>
      <c r="M33" s="2">
        <v>75.746666666666684</v>
      </c>
    </row>
    <row r="34" spans="1:13" x14ac:dyDescent="0.3">
      <c r="A34" s="4" t="s">
        <v>151</v>
      </c>
      <c r="B34" s="2">
        <v>63.333333333333329</v>
      </c>
      <c r="C34" s="2">
        <v>75.432795698924764</v>
      </c>
      <c r="E34" s="3" t="s">
        <v>47</v>
      </c>
      <c r="F34" s="2">
        <v>91</v>
      </c>
      <c r="G34" s="2">
        <v>59</v>
      </c>
      <c r="H34" s="2">
        <v>94</v>
      </c>
      <c r="J34" s="3" t="s">
        <v>47</v>
      </c>
      <c r="K34" s="2"/>
      <c r="L34" s="2">
        <v>75.71380471380472</v>
      </c>
      <c r="M34" s="2">
        <v>75.71380471380472</v>
      </c>
    </row>
    <row r="35" spans="1:13" x14ac:dyDescent="0.3">
      <c r="A35" s="5" t="s">
        <v>158</v>
      </c>
      <c r="B35" s="2">
        <v>63.333333333333329</v>
      </c>
      <c r="C35" s="2">
        <v>75.432795698924764</v>
      </c>
      <c r="E35" s="3" t="s">
        <v>48</v>
      </c>
      <c r="F35" s="2">
        <v>70</v>
      </c>
      <c r="G35" s="2">
        <v>79</v>
      </c>
      <c r="H35" s="2">
        <v>73</v>
      </c>
      <c r="J35" s="3" t="s">
        <v>48</v>
      </c>
      <c r="K35" s="2"/>
      <c r="L35" s="2">
        <v>75.656462585034021</v>
      </c>
      <c r="M35" s="2">
        <v>75.656462585034021</v>
      </c>
    </row>
    <row r="36" spans="1:13" x14ac:dyDescent="0.3">
      <c r="A36" s="6" t="s">
        <v>169</v>
      </c>
      <c r="B36" s="2">
        <v>63.333333333333329</v>
      </c>
      <c r="C36" s="2">
        <v>75.432795698924764</v>
      </c>
      <c r="E36" s="3" t="s">
        <v>49</v>
      </c>
      <c r="F36" s="2">
        <v>70</v>
      </c>
      <c r="G36" s="2">
        <v>66</v>
      </c>
      <c r="H36" s="2">
        <v>83</v>
      </c>
      <c r="J36" s="3" t="s">
        <v>49</v>
      </c>
      <c r="K36" s="2">
        <v>75.673539518900355</v>
      </c>
      <c r="L36" s="2"/>
      <c r="M36" s="2">
        <v>75.673539518900355</v>
      </c>
    </row>
    <row r="37" spans="1:13" x14ac:dyDescent="0.3">
      <c r="A37" s="7" t="s">
        <v>166</v>
      </c>
      <c r="B37" s="2">
        <v>63.333333333333329</v>
      </c>
      <c r="C37" s="2">
        <v>75.432795698924764</v>
      </c>
      <c r="E37" s="3" t="s">
        <v>50</v>
      </c>
      <c r="F37" s="2">
        <v>80</v>
      </c>
      <c r="G37" s="2">
        <v>77</v>
      </c>
      <c r="H37" s="2">
        <v>59</v>
      </c>
      <c r="J37" s="3" t="s">
        <v>50</v>
      </c>
      <c r="K37" s="2"/>
      <c r="L37" s="2">
        <v>75.7013888888889</v>
      </c>
      <c r="M37" s="2">
        <v>75.7013888888889</v>
      </c>
    </row>
    <row r="38" spans="1:13" x14ac:dyDescent="0.3">
      <c r="A38" s="3" t="s">
        <v>23</v>
      </c>
      <c r="B38" s="2">
        <v>73.333333333333329</v>
      </c>
      <c r="C38" s="2">
        <v>75.531165311653169</v>
      </c>
      <c r="E38" s="3" t="s">
        <v>51</v>
      </c>
      <c r="F38" s="2">
        <v>95</v>
      </c>
      <c r="G38" s="2">
        <v>80</v>
      </c>
      <c r="H38" s="2">
        <v>66</v>
      </c>
      <c r="J38" s="3" t="s">
        <v>51</v>
      </c>
      <c r="K38" s="2"/>
      <c r="L38" s="2">
        <v>75.740350877192995</v>
      </c>
      <c r="M38" s="2">
        <v>75.740350877192995</v>
      </c>
    </row>
    <row r="39" spans="1:13" x14ac:dyDescent="0.3">
      <c r="A39" s="4" t="s">
        <v>150</v>
      </c>
      <c r="B39" s="2">
        <v>73.333333333333329</v>
      </c>
      <c r="C39" s="2">
        <v>75.531165311653169</v>
      </c>
      <c r="E39" s="3" t="s">
        <v>52</v>
      </c>
      <c r="F39" s="2">
        <v>92</v>
      </c>
      <c r="G39" s="2">
        <v>73</v>
      </c>
      <c r="H39" s="2">
        <v>74</v>
      </c>
      <c r="J39" s="3" t="s">
        <v>52</v>
      </c>
      <c r="K39" s="2">
        <v>75.691489361702125</v>
      </c>
      <c r="L39" s="2"/>
      <c r="M39" s="2">
        <v>75.691489361702125</v>
      </c>
    </row>
    <row r="40" spans="1:13" x14ac:dyDescent="0.3">
      <c r="A40" s="5" t="s">
        <v>159</v>
      </c>
      <c r="B40" s="2">
        <v>73.333333333333329</v>
      </c>
      <c r="C40" s="2">
        <v>75.531165311653169</v>
      </c>
      <c r="E40" s="3" t="s">
        <v>53</v>
      </c>
      <c r="F40" s="2">
        <v>83</v>
      </c>
      <c r="G40" s="2">
        <v>84</v>
      </c>
      <c r="H40" s="2">
        <v>59</v>
      </c>
      <c r="J40" s="3" t="s">
        <v>53</v>
      </c>
      <c r="K40" s="2"/>
      <c r="L40" s="2">
        <v>75.648745519713259</v>
      </c>
      <c r="M40" s="2">
        <v>75.648745519713259</v>
      </c>
    </row>
    <row r="41" spans="1:13" x14ac:dyDescent="0.3">
      <c r="A41" s="6" t="s">
        <v>170</v>
      </c>
      <c r="B41" s="2">
        <v>73.333333333333329</v>
      </c>
      <c r="C41" s="2">
        <v>75.531165311653169</v>
      </c>
      <c r="E41" s="3" t="s">
        <v>54</v>
      </c>
      <c r="F41" s="2">
        <v>59</v>
      </c>
      <c r="G41" s="2">
        <v>97</v>
      </c>
      <c r="H41" s="2">
        <v>79</v>
      </c>
      <c r="J41" s="3" t="s">
        <v>54</v>
      </c>
      <c r="K41" s="2">
        <v>75.65217391304347</v>
      </c>
      <c r="L41" s="2"/>
      <c r="M41" s="2">
        <v>75.65217391304347</v>
      </c>
    </row>
    <row r="42" spans="1:13" x14ac:dyDescent="0.3">
      <c r="A42" s="7" t="s">
        <v>166</v>
      </c>
      <c r="B42" s="2">
        <v>73.333333333333329</v>
      </c>
      <c r="C42" s="2">
        <v>75.531165311653169</v>
      </c>
      <c r="E42" s="3" t="s">
        <v>55</v>
      </c>
      <c r="F42" s="2">
        <v>66</v>
      </c>
      <c r="G42" s="2">
        <v>91</v>
      </c>
      <c r="H42" s="2">
        <v>66</v>
      </c>
      <c r="J42" s="3" t="s">
        <v>55</v>
      </c>
      <c r="K42" s="2">
        <v>75.622710622710628</v>
      </c>
      <c r="L42" s="2"/>
      <c r="M42" s="2">
        <v>75.622710622710628</v>
      </c>
    </row>
    <row r="43" spans="1:13" x14ac:dyDescent="0.3">
      <c r="A43" s="3" t="s">
        <v>24</v>
      </c>
      <c r="B43" s="2">
        <v>73.333333333333329</v>
      </c>
      <c r="C43" s="2">
        <v>75.549180327868896</v>
      </c>
      <c r="E43" s="3" t="s">
        <v>56</v>
      </c>
      <c r="F43" s="2">
        <v>74</v>
      </c>
      <c r="G43" s="2">
        <v>83</v>
      </c>
      <c r="H43" s="2">
        <v>59</v>
      </c>
      <c r="J43" s="3" t="s">
        <v>56</v>
      </c>
      <c r="K43" s="2">
        <v>75.637037037037032</v>
      </c>
      <c r="L43" s="2"/>
      <c r="M43" s="2">
        <v>75.637037037037032</v>
      </c>
    </row>
    <row r="44" spans="1:13" x14ac:dyDescent="0.3">
      <c r="A44" s="4" t="s">
        <v>149</v>
      </c>
      <c r="B44" s="2">
        <v>73.333333333333329</v>
      </c>
      <c r="C44" s="2">
        <v>75.549180327868896</v>
      </c>
      <c r="E44" s="3" t="s">
        <v>57</v>
      </c>
      <c r="F44" s="2">
        <v>59</v>
      </c>
      <c r="G44" s="2">
        <v>88</v>
      </c>
      <c r="H44" s="2">
        <v>66</v>
      </c>
      <c r="J44" s="3" t="s">
        <v>57</v>
      </c>
      <c r="K44" s="2">
        <v>75.677902621722836</v>
      </c>
      <c r="L44" s="2"/>
      <c r="M44" s="2">
        <v>75.677902621722836</v>
      </c>
    </row>
    <row r="45" spans="1:13" x14ac:dyDescent="0.3">
      <c r="A45" s="5" t="s">
        <v>158</v>
      </c>
      <c r="B45" s="2">
        <v>73.333333333333329</v>
      </c>
      <c r="C45" s="2">
        <v>75.549180327868896</v>
      </c>
      <c r="E45" s="3" t="s">
        <v>58</v>
      </c>
      <c r="F45" s="2">
        <v>79</v>
      </c>
      <c r="G45" s="2">
        <v>71</v>
      </c>
      <c r="H45" s="2">
        <v>74</v>
      </c>
      <c r="J45" s="3" t="s">
        <v>58</v>
      </c>
      <c r="K45" s="2">
        <v>75.731060606060609</v>
      </c>
      <c r="L45" s="2"/>
      <c r="M45" s="2">
        <v>75.731060606060609</v>
      </c>
    </row>
    <row r="46" spans="1:13" x14ac:dyDescent="0.3">
      <c r="A46" s="6" t="s">
        <v>170</v>
      </c>
      <c r="B46" s="2">
        <v>73.333333333333329</v>
      </c>
      <c r="C46" s="2">
        <v>75.549180327868896</v>
      </c>
      <c r="E46" s="3" t="s">
        <v>59</v>
      </c>
      <c r="F46" s="2">
        <v>66</v>
      </c>
      <c r="G46" s="2">
        <v>79</v>
      </c>
      <c r="H46" s="2">
        <v>59</v>
      </c>
      <c r="J46" s="3" t="s">
        <v>59</v>
      </c>
      <c r="K46" s="2">
        <v>75.743295019157088</v>
      </c>
      <c r="L46" s="2"/>
      <c r="M46" s="2">
        <v>75.743295019157088</v>
      </c>
    </row>
    <row r="47" spans="1:13" x14ac:dyDescent="0.3">
      <c r="A47" s="7" t="s">
        <v>166</v>
      </c>
      <c r="B47" s="2">
        <v>73.333333333333329</v>
      </c>
      <c r="C47" s="2">
        <v>75.549180327868896</v>
      </c>
      <c r="E47" s="3" t="s">
        <v>60</v>
      </c>
      <c r="F47" s="2">
        <v>77</v>
      </c>
      <c r="G47" s="2">
        <v>59</v>
      </c>
      <c r="H47" s="2">
        <v>79</v>
      </c>
      <c r="J47" s="3" t="s">
        <v>60</v>
      </c>
      <c r="K47" s="2"/>
      <c r="L47" s="2">
        <v>75.833333333333314</v>
      </c>
      <c r="M47" s="2">
        <v>75.833333333333314</v>
      </c>
    </row>
    <row r="48" spans="1:13" x14ac:dyDescent="0.3">
      <c r="A48" s="3" t="s">
        <v>25</v>
      </c>
      <c r="B48" s="2">
        <v>78.333333333333329</v>
      </c>
      <c r="C48" s="2">
        <v>75.567493112947702</v>
      </c>
      <c r="E48" s="3" t="s">
        <v>61</v>
      </c>
      <c r="F48" s="2">
        <v>80</v>
      </c>
      <c r="G48" s="2">
        <v>60</v>
      </c>
      <c r="H48" s="2">
        <v>66</v>
      </c>
      <c r="J48" s="3" t="s">
        <v>61</v>
      </c>
      <c r="K48" s="2"/>
      <c r="L48" s="2">
        <v>75.88235294117645</v>
      </c>
      <c r="M48" s="2">
        <v>75.88235294117645</v>
      </c>
    </row>
    <row r="49" spans="1:13" x14ac:dyDescent="0.3">
      <c r="A49" s="4" t="s">
        <v>152</v>
      </c>
      <c r="B49" s="2">
        <v>78.333333333333329</v>
      </c>
      <c r="C49" s="2">
        <v>75.567493112947702</v>
      </c>
      <c r="E49" s="3" t="s">
        <v>62</v>
      </c>
      <c r="F49" s="2">
        <v>73</v>
      </c>
      <c r="G49" s="2">
        <v>77</v>
      </c>
      <c r="H49" s="2">
        <v>97</v>
      </c>
      <c r="J49" s="3" t="s">
        <v>62</v>
      </c>
      <c r="K49" s="2"/>
      <c r="L49" s="2">
        <v>75.968253968253947</v>
      </c>
      <c r="M49" s="2">
        <v>75.968253968253947</v>
      </c>
    </row>
    <row r="50" spans="1:13" x14ac:dyDescent="0.3">
      <c r="A50" s="5" t="s">
        <v>158</v>
      </c>
      <c r="B50" s="2">
        <v>78.333333333333329</v>
      </c>
      <c r="C50" s="2">
        <v>75.567493112947702</v>
      </c>
      <c r="E50" s="3" t="s">
        <v>63</v>
      </c>
      <c r="F50" s="2">
        <v>84</v>
      </c>
      <c r="G50" s="2">
        <v>87</v>
      </c>
      <c r="H50" s="2">
        <v>89</v>
      </c>
      <c r="J50" s="3" t="s">
        <v>63</v>
      </c>
      <c r="K50" s="2"/>
      <c r="L50" s="2">
        <v>75.891566265060234</v>
      </c>
      <c r="M50" s="2">
        <v>75.891566265060234</v>
      </c>
    </row>
    <row r="51" spans="1:13" x14ac:dyDescent="0.3">
      <c r="A51" s="6" t="s">
        <v>170</v>
      </c>
      <c r="B51" s="2">
        <v>78.333333333333329</v>
      </c>
      <c r="C51" s="2">
        <v>75.567493112947702</v>
      </c>
      <c r="E51" s="3" t="s">
        <v>64</v>
      </c>
      <c r="F51" s="2">
        <v>97</v>
      </c>
      <c r="G51" s="2">
        <v>91</v>
      </c>
      <c r="H51" s="2">
        <v>99</v>
      </c>
      <c r="J51" s="3" t="s">
        <v>64</v>
      </c>
      <c r="K51" s="2"/>
      <c r="L51" s="2">
        <v>75.760162601626007</v>
      </c>
      <c r="M51" s="2">
        <v>75.760162601626007</v>
      </c>
    </row>
    <row r="52" spans="1:13" x14ac:dyDescent="0.3">
      <c r="A52" s="7" t="s">
        <v>166</v>
      </c>
      <c r="B52" s="2">
        <v>78.333333333333329</v>
      </c>
      <c r="C52" s="2">
        <v>75.567493112947702</v>
      </c>
      <c r="E52" s="3" t="s">
        <v>65</v>
      </c>
      <c r="F52" s="2">
        <v>91</v>
      </c>
      <c r="G52" s="2">
        <v>70</v>
      </c>
      <c r="H52" s="2">
        <v>68</v>
      </c>
      <c r="J52" s="3" t="s">
        <v>65</v>
      </c>
      <c r="K52" s="2">
        <v>75.514403292181058</v>
      </c>
      <c r="L52" s="2"/>
      <c r="M52" s="2">
        <v>75.514403292181058</v>
      </c>
    </row>
    <row r="53" spans="1:13" x14ac:dyDescent="0.3">
      <c r="A53" s="3" t="s">
        <v>26</v>
      </c>
      <c r="B53" s="2">
        <v>95.666666666666671</v>
      </c>
      <c r="C53" s="2">
        <v>75.544444444444466</v>
      </c>
      <c r="E53" s="3" t="s">
        <v>66</v>
      </c>
      <c r="F53" s="2">
        <v>83</v>
      </c>
      <c r="G53" s="2">
        <v>70</v>
      </c>
      <c r="H53" s="2">
        <v>73</v>
      </c>
      <c r="J53" s="3" t="s">
        <v>66</v>
      </c>
      <c r="K53" s="2">
        <v>75.504166666666649</v>
      </c>
      <c r="L53" s="2"/>
      <c r="M53" s="2">
        <v>75.504166666666649</v>
      </c>
    </row>
    <row r="54" spans="1:13" x14ac:dyDescent="0.3">
      <c r="A54" s="4" t="s">
        <v>151</v>
      </c>
      <c r="B54" s="2">
        <v>95.666666666666671</v>
      </c>
      <c r="C54" s="2">
        <v>75.544444444444466</v>
      </c>
      <c r="E54" s="3" t="s">
        <v>67</v>
      </c>
      <c r="F54" s="2">
        <v>88</v>
      </c>
      <c r="G54" s="2">
        <v>80</v>
      </c>
      <c r="H54" s="2">
        <v>52</v>
      </c>
      <c r="J54" s="3" t="s">
        <v>67</v>
      </c>
      <c r="K54" s="2">
        <v>75.506329113924025</v>
      </c>
      <c r="L54" s="2"/>
      <c r="M54" s="2">
        <v>75.506329113924025</v>
      </c>
    </row>
    <row r="55" spans="1:13" x14ac:dyDescent="0.3">
      <c r="A55" s="5" t="s">
        <v>159</v>
      </c>
      <c r="B55" s="2">
        <v>95.666666666666671</v>
      </c>
      <c r="C55" s="2">
        <v>75.544444444444466</v>
      </c>
      <c r="E55" s="3" t="s">
        <v>68</v>
      </c>
      <c r="F55" s="2">
        <v>71</v>
      </c>
      <c r="G55" s="2">
        <v>95</v>
      </c>
      <c r="H55" s="2">
        <v>69</v>
      </c>
      <c r="J55" s="3" t="s">
        <v>68</v>
      </c>
      <c r="K55" s="2"/>
      <c r="L55" s="2">
        <v>75.53418803418802</v>
      </c>
      <c r="M55" s="2">
        <v>75.53418803418802</v>
      </c>
    </row>
    <row r="56" spans="1:13" x14ac:dyDescent="0.3">
      <c r="A56" s="6" t="s">
        <v>171</v>
      </c>
      <c r="B56" s="2">
        <v>95.666666666666671</v>
      </c>
      <c r="C56" s="2">
        <v>75.544444444444466</v>
      </c>
      <c r="E56" s="3" t="s">
        <v>69</v>
      </c>
      <c r="F56" s="2">
        <v>79</v>
      </c>
      <c r="G56" s="2">
        <v>92</v>
      </c>
      <c r="H56" s="2">
        <v>77</v>
      </c>
      <c r="J56" s="3" t="s">
        <v>69</v>
      </c>
      <c r="K56" s="2"/>
      <c r="L56" s="2">
        <v>75.497835497835482</v>
      </c>
      <c r="M56" s="2">
        <v>75.497835497835482</v>
      </c>
    </row>
    <row r="57" spans="1:13" x14ac:dyDescent="0.3">
      <c r="A57" s="7" t="s">
        <v>166</v>
      </c>
      <c r="B57" s="2">
        <v>95.666666666666671</v>
      </c>
      <c r="C57" s="2">
        <v>75.544444444444466</v>
      </c>
      <c r="E57" s="3" t="s">
        <v>70</v>
      </c>
      <c r="F57" s="2">
        <v>59</v>
      </c>
      <c r="G57" s="2">
        <v>83</v>
      </c>
      <c r="H57" s="2">
        <v>88</v>
      </c>
      <c r="J57" s="3" t="s">
        <v>70</v>
      </c>
      <c r="K57" s="2">
        <v>75.403508771929808</v>
      </c>
      <c r="L57" s="2"/>
      <c r="M57" s="2">
        <v>75.403508771929808</v>
      </c>
    </row>
    <row r="58" spans="1:13" x14ac:dyDescent="0.3">
      <c r="A58" s="3" t="s">
        <v>27</v>
      </c>
      <c r="B58" s="2">
        <v>77</v>
      </c>
      <c r="C58" s="2">
        <v>75.375350140056057</v>
      </c>
      <c r="E58" s="3" t="s">
        <v>71</v>
      </c>
      <c r="F58" s="2">
        <v>60</v>
      </c>
      <c r="G58" s="2">
        <v>59</v>
      </c>
      <c r="H58" s="2">
        <v>92</v>
      </c>
      <c r="J58" s="3" t="s">
        <v>71</v>
      </c>
      <c r="K58" s="2"/>
      <c r="L58" s="2">
        <v>75.386666666666642</v>
      </c>
      <c r="M58" s="2">
        <v>75.386666666666642</v>
      </c>
    </row>
    <row r="59" spans="1:13" x14ac:dyDescent="0.3">
      <c r="A59" s="4" t="s">
        <v>148</v>
      </c>
      <c r="B59" s="2">
        <v>77</v>
      </c>
      <c r="C59" s="2">
        <v>75.375350140056057</v>
      </c>
      <c r="E59" s="3" t="s">
        <v>72</v>
      </c>
      <c r="F59" s="2">
        <v>64</v>
      </c>
      <c r="G59" s="2">
        <v>66</v>
      </c>
      <c r="H59" s="2">
        <v>94</v>
      </c>
      <c r="J59" s="3" t="s">
        <v>72</v>
      </c>
      <c r="K59" s="2"/>
      <c r="L59" s="2">
        <v>75.454954954954928</v>
      </c>
      <c r="M59" s="2">
        <v>75.454954954954928</v>
      </c>
    </row>
    <row r="60" spans="1:13" x14ac:dyDescent="0.3">
      <c r="A60" s="5" t="s">
        <v>158</v>
      </c>
      <c r="B60" s="2">
        <v>77</v>
      </c>
      <c r="C60" s="2">
        <v>75.375350140056057</v>
      </c>
      <c r="E60" s="3" t="s">
        <v>73</v>
      </c>
      <c r="F60" s="2">
        <v>85</v>
      </c>
      <c r="G60" s="2">
        <v>74</v>
      </c>
      <c r="H60" s="2">
        <v>60</v>
      </c>
      <c r="J60" s="3" t="s">
        <v>73</v>
      </c>
      <c r="K60" s="2">
        <v>75.465753424657507</v>
      </c>
      <c r="L60" s="2"/>
      <c r="M60" s="2">
        <v>75.465753424657507</v>
      </c>
    </row>
    <row r="61" spans="1:13" x14ac:dyDescent="0.3">
      <c r="A61" s="6" t="s">
        <v>170</v>
      </c>
      <c r="B61" s="2">
        <v>77</v>
      </c>
      <c r="C61" s="2">
        <v>75.375350140056057</v>
      </c>
      <c r="E61" s="3" t="s">
        <v>74</v>
      </c>
      <c r="F61" s="2">
        <v>88</v>
      </c>
      <c r="G61" s="2">
        <v>66</v>
      </c>
      <c r="H61" s="2">
        <v>96</v>
      </c>
      <c r="J61" s="3" t="s">
        <v>74</v>
      </c>
      <c r="K61" s="2">
        <v>75.499999999999972</v>
      </c>
      <c r="L61" s="2"/>
      <c r="M61" s="2">
        <v>75.499999999999972</v>
      </c>
    </row>
    <row r="62" spans="1:13" x14ac:dyDescent="0.3">
      <c r="A62" s="7" t="s">
        <v>166</v>
      </c>
      <c r="B62" s="2">
        <v>77</v>
      </c>
      <c r="C62" s="2">
        <v>75.375350140056057</v>
      </c>
      <c r="E62" s="3" t="s">
        <v>75</v>
      </c>
      <c r="F62" s="2">
        <v>89</v>
      </c>
      <c r="G62" s="2">
        <v>74</v>
      </c>
      <c r="H62" s="2">
        <v>80</v>
      </c>
      <c r="J62" s="3" t="s">
        <v>75</v>
      </c>
      <c r="K62" s="2">
        <v>75.389671361502309</v>
      </c>
      <c r="L62" s="2"/>
      <c r="M62" s="2">
        <v>75.389671361502309</v>
      </c>
    </row>
    <row r="63" spans="1:13" x14ac:dyDescent="0.3">
      <c r="A63" s="3" t="s">
        <v>28</v>
      </c>
      <c r="B63" s="2">
        <v>70.333333333333343</v>
      </c>
      <c r="C63" s="2">
        <v>75.361581920903987</v>
      </c>
      <c r="E63" s="3" t="s">
        <v>76</v>
      </c>
      <c r="F63" s="2">
        <v>99</v>
      </c>
      <c r="G63" s="2">
        <v>59</v>
      </c>
      <c r="H63" s="2">
        <v>79</v>
      </c>
      <c r="J63" s="3" t="s">
        <v>76</v>
      </c>
      <c r="K63" s="2">
        <v>75.309523809523782</v>
      </c>
      <c r="L63" s="2"/>
      <c r="M63" s="2">
        <v>75.309523809523782</v>
      </c>
    </row>
    <row r="64" spans="1:13" x14ac:dyDescent="0.3">
      <c r="A64" s="4" t="s">
        <v>150</v>
      </c>
      <c r="B64" s="2">
        <v>70.333333333333343</v>
      </c>
      <c r="C64" s="2">
        <v>75.361581920903987</v>
      </c>
      <c r="E64" s="3" t="s">
        <v>77</v>
      </c>
      <c r="F64" s="2">
        <v>60</v>
      </c>
      <c r="G64" s="2">
        <v>79</v>
      </c>
      <c r="H64" s="2">
        <v>72</v>
      </c>
      <c r="J64" s="3" t="s">
        <v>77</v>
      </c>
      <c r="K64" s="2"/>
      <c r="L64" s="2">
        <v>75.256038647342962</v>
      </c>
      <c r="M64" s="2">
        <v>75.256038647342962</v>
      </c>
    </row>
    <row r="65" spans="1:13" x14ac:dyDescent="0.3">
      <c r="A65" s="5" t="s">
        <v>159</v>
      </c>
      <c r="B65" s="2">
        <v>70.333333333333343</v>
      </c>
      <c r="C65" s="2">
        <v>75.361581920903987</v>
      </c>
      <c r="E65" s="3" t="s">
        <v>78</v>
      </c>
      <c r="F65" s="2">
        <v>72</v>
      </c>
      <c r="G65" s="2">
        <v>66</v>
      </c>
      <c r="H65" s="2">
        <v>99</v>
      </c>
      <c r="J65" s="3" t="s">
        <v>78</v>
      </c>
      <c r="K65" s="2"/>
      <c r="L65" s="2">
        <v>75.328431372548991</v>
      </c>
      <c r="M65" s="2">
        <v>75.328431372548991</v>
      </c>
    </row>
    <row r="66" spans="1:13" x14ac:dyDescent="0.3">
      <c r="A66" s="6" t="s">
        <v>170</v>
      </c>
      <c r="B66" s="2">
        <v>70.333333333333343</v>
      </c>
      <c r="C66" s="2">
        <v>75.361581920903987</v>
      </c>
      <c r="E66" s="3" t="s">
        <v>79</v>
      </c>
      <c r="F66" s="2">
        <v>58</v>
      </c>
      <c r="G66" s="2">
        <v>91</v>
      </c>
      <c r="H66" s="2">
        <v>66</v>
      </c>
      <c r="J66" s="3" t="s">
        <v>79</v>
      </c>
      <c r="K66" s="2"/>
      <c r="L66" s="2">
        <v>75.273631840796</v>
      </c>
      <c r="M66" s="2">
        <v>75.273631840796</v>
      </c>
    </row>
    <row r="67" spans="1:13" x14ac:dyDescent="0.3">
      <c r="A67" s="7" t="s">
        <v>166</v>
      </c>
      <c r="B67" s="2">
        <v>70.333333333333343</v>
      </c>
      <c r="C67" s="2">
        <v>75.361581920903987</v>
      </c>
      <c r="E67" s="3" t="s">
        <v>80</v>
      </c>
      <c r="F67" s="2">
        <v>88</v>
      </c>
      <c r="G67" s="2">
        <v>70</v>
      </c>
      <c r="H67" s="2">
        <v>89</v>
      </c>
      <c r="J67" s="3" t="s">
        <v>80</v>
      </c>
      <c r="K67" s="2">
        <v>75.328282828282823</v>
      </c>
      <c r="L67" s="2"/>
      <c r="M67" s="2">
        <v>75.328282828282823</v>
      </c>
    </row>
    <row r="68" spans="1:13" x14ac:dyDescent="0.3">
      <c r="A68" s="3" t="s">
        <v>29</v>
      </c>
      <c r="B68" s="2">
        <v>63.333333333333329</v>
      </c>
      <c r="C68" s="2">
        <v>75.404558404558443</v>
      </c>
      <c r="E68" s="3" t="s">
        <v>81</v>
      </c>
      <c r="F68" s="2">
        <v>79</v>
      </c>
      <c r="G68" s="2">
        <v>70</v>
      </c>
      <c r="H68" s="2">
        <v>62</v>
      </c>
      <c r="J68" s="3" t="s">
        <v>81</v>
      </c>
      <c r="K68" s="2">
        <v>75.220512820512795</v>
      </c>
      <c r="L68" s="2"/>
      <c r="M68" s="2">
        <v>75.220512820512795</v>
      </c>
    </row>
    <row r="69" spans="1:13" x14ac:dyDescent="0.3">
      <c r="A69" s="4" t="s">
        <v>152</v>
      </c>
      <c r="B69" s="2">
        <v>63.333333333333329</v>
      </c>
      <c r="C69" s="2">
        <v>75.404558404558443</v>
      </c>
      <c r="E69" s="3" t="s">
        <v>82</v>
      </c>
      <c r="F69" s="2">
        <v>68</v>
      </c>
      <c r="G69" s="2">
        <v>80</v>
      </c>
      <c r="H69" s="2">
        <v>56</v>
      </c>
      <c r="J69" s="3" t="s">
        <v>82</v>
      </c>
      <c r="K69" s="2"/>
      <c r="L69" s="2">
        <v>75.296874999999986</v>
      </c>
      <c r="M69" s="2">
        <v>75.296874999999986</v>
      </c>
    </row>
    <row r="70" spans="1:13" x14ac:dyDescent="0.3">
      <c r="A70" s="5" t="s">
        <v>158</v>
      </c>
      <c r="B70" s="2">
        <v>63.333333333333329</v>
      </c>
      <c r="C70" s="2">
        <v>75.404558404558443</v>
      </c>
      <c r="E70" s="3" t="s">
        <v>83</v>
      </c>
      <c r="F70" s="2">
        <v>50</v>
      </c>
      <c r="G70" s="2">
        <v>95</v>
      </c>
      <c r="H70" s="2">
        <v>84</v>
      </c>
      <c r="J70" s="3" t="s">
        <v>83</v>
      </c>
      <c r="K70" s="2">
        <v>75.412698412698404</v>
      </c>
      <c r="L70" s="2"/>
      <c r="M70" s="2">
        <v>75.412698412698404</v>
      </c>
    </row>
    <row r="71" spans="1:13" x14ac:dyDescent="0.3">
      <c r="A71" s="6" t="s">
        <v>169</v>
      </c>
      <c r="B71" s="2">
        <v>63.333333333333329</v>
      </c>
      <c r="C71" s="2">
        <v>75.404558404558443</v>
      </c>
      <c r="E71" s="3" t="s">
        <v>84</v>
      </c>
      <c r="F71" s="2">
        <v>80</v>
      </c>
      <c r="G71" s="2">
        <v>92</v>
      </c>
      <c r="H71" s="2">
        <v>86</v>
      </c>
      <c r="J71" s="3" t="s">
        <v>84</v>
      </c>
      <c r="K71" s="2">
        <v>75.397849462365585</v>
      </c>
      <c r="L71" s="2"/>
      <c r="M71" s="2">
        <v>75.397849462365585</v>
      </c>
    </row>
    <row r="72" spans="1:13" x14ac:dyDescent="0.3">
      <c r="A72" s="7" t="s">
        <v>166</v>
      </c>
      <c r="B72" s="2">
        <v>63.333333333333329</v>
      </c>
      <c r="C72" s="2">
        <v>75.404558404558443</v>
      </c>
      <c r="E72" s="3" t="s">
        <v>85</v>
      </c>
      <c r="F72" s="2">
        <v>79</v>
      </c>
      <c r="G72" s="2">
        <v>83</v>
      </c>
      <c r="H72" s="2">
        <v>91</v>
      </c>
      <c r="J72" s="3" t="s">
        <v>85</v>
      </c>
      <c r="K72" s="2"/>
      <c r="L72" s="2">
        <v>75.224043715846989</v>
      </c>
      <c r="M72" s="2">
        <v>75.224043715846989</v>
      </c>
    </row>
    <row r="73" spans="1:13" x14ac:dyDescent="0.3">
      <c r="A73" s="3" t="s">
        <v>30</v>
      </c>
      <c r="B73" s="2">
        <v>80.666666666666657</v>
      </c>
      <c r="C73" s="2">
        <v>75.508620689655203</v>
      </c>
      <c r="E73" s="3" t="s">
        <v>86</v>
      </c>
      <c r="F73" s="2">
        <v>83</v>
      </c>
      <c r="G73" s="2">
        <v>59</v>
      </c>
      <c r="H73" s="2">
        <v>70</v>
      </c>
      <c r="J73" s="3" t="s">
        <v>86</v>
      </c>
      <c r="K73" s="2"/>
      <c r="L73" s="2">
        <v>75.072222222222223</v>
      </c>
      <c r="M73" s="2">
        <v>75.072222222222223</v>
      </c>
    </row>
    <row r="74" spans="1:13" x14ac:dyDescent="0.3">
      <c r="A74" s="4" t="s">
        <v>151</v>
      </c>
      <c r="B74" s="2">
        <v>80.666666666666657</v>
      </c>
      <c r="C74" s="2">
        <v>75.508620689655203</v>
      </c>
      <c r="E74" s="3" t="s">
        <v>87</v>
      </c>
      <c r="F74" s="2">
        <v>82</v>
      </c>
      <c r="G74" s="2">
        <v>66</v>
      </c>
      <c r="H74" s="2">
        <v>70</v>
      </c>
      <c r="J74" s="3" t="s">
        <v>87</v>
      </c>
      <c r="K74" s="2">
        <v>75.146892655367239</v>
      </c>
      <c r="L74" s="2"/>
      <c r="M74" s="2">
        <v>75.146892655367239</v>
      </c>
    </row>
    <row r="75" spans="1:13" x14ac:dyDescent="0.3">
      <c r="A75" s="5" t="s">
        <v>158</v>
      </c>
      <c r="B75" s="2">
        <v>80.666666666666657</v>
      </c>
      <c r="C75" s="2">
        <v>75.508620689655203</v>
      </c>
      <c r="E75" s="3" t="s">
        <v>88</v>
      </c>
      <c r="F75" s="2">
        <v>91</v>
      </c>
      <c r="G75" s="2">
        <v>74</v>
      </c>
      <c r="H75" s="2">
        <v>80</v>
      </c>
      <c r="J75" s="3" t="s">
        <v>88</v>
      </c>
      <c r="K75" s="2"/>
      <c r="L75" s="2">
        <v>75.189655172413794</v>
      </c>
      <c r="M75" s="2">
        <v>75.189655172413794</v>
      </c>
    </row>
    <row r="76" spans="1:13" x14ac:dyDescent="0.3">
      <c r="A76" s="6" t="s">
        <v>168</v>
      </c>
      <c r="B76" s="2">
        <v>80.666666666666657</v>
      </c>
      <c r="C76" s="2">
        <v>75.508620689655203</v>
      </c>
      <c r="E76" s="3" t="s">
        <v>89</v>
      </c>
      <c r="F76" s="2">
        <v>85</v>
      </c>
      <c r="G76" s="2">
        <v>73</v>
      </c>
      <c r="H76" s="2">
        <v>95</v>
      </c>
      <c r="J76" s="3" t="s">
        <v>89</v>
      </c>
      <c r="K76" s="2">
        <v>75.076023391812853</v>
      </c>
      <c r="L76" s="2"/>
      <c r="M76" s="2">
        <v>75.076023391812853</v>
      </c>
    </row>
    <row r="77" spans="1:13" x14ac:dyDescent="0.3">
      <c r="A77" s="7" t="s">
        <v>166</v>
      </c>
      <c r="B77" s="2">
        <v>80.666666666666657</v>
      </c>
      <c r="C77" s="2">
        <v>75.508620689655203</v>
      </c>
      <c r="E77" s="3" t="s">
        <v>90</v>
      </c>
      <c r="F77" s="2">
        <v>79</v>
      </c>
      <c r="G77" s="2">
        <v>32</v>
      </c>
      <c r="H77" s="2">
        <v>92</v>
      </c>
      <c r="J77" s="3" t="s">
        <v>90</v>
      </c>
      <c r="K77" s="2">
        <v>74.910714285714306</v>
      </c>
      <c r="L77" s="2"/>
      <c r="M77" s="2">
        <v>74.910714285714306</v>
      </c>
    </row>
    <row r="78" spans="1:13" x14ac:dyDescent="0.3">
      <c r="A78" s="3" t="s">
        <v>31</v>
      </c>
      <c r="B78" s="2">
        <v>67</v>
      </c>
      <c r="C78" s="2">
        <v>75.463768115942045</v>
      </c>
      <c r="E78" s="3" t="s">
        <v>91</v>
      </c>
      <c r="F78" s="2">
        <v>60</v>
      </c>
      <c r="G78" s="2">
        <v>58</v>
      </c>
      <c r="H78" s="2">
        <v>83</v>
      </c>
      <c r="J78" s="3" t="s">
        <v>91</v>
      </c>
      <c r="K78" s="2"/>
      <c r="L78" s="2">
        <v>75.042424242424246</v>
      </c>
      <c r="M78" s="2">
        <v>75.042424242424246</v>
      </c>
    </row>
    <row r="79" spans="1:13" x14ac:dyDescent="0.3">
      <c r="A79" s="4" t="s">
        <v>148</v>
      </c>
      <c r="B79" s="2">
        <v>67</v>
      </c>
      <c r="C79" s="2">
        <v>75.463768115942045</v>
      </c>
      <c r="E79" s="3" t="s">
        <v>92</v>
      </c>
      <c r="F79" s="2">
        <v>59</v>
      </c>
      <c r="G79" s="2">
        <v>46</v>
      </c>
      <c r="H79" s="2">
        <v>59</v>
      </c>
      <c r="J79" s="3" t="s">
        <v>92</v>
      </c>
      <c r="K79" s="2">
        <v>75.191358024691354</v>
      </c>
      <c r="L79" s="2"/>
      <c r="M79" s="2">
        <v>75.191358024691354</v>
      </c>
    </row>
    <row r="80" spans="1:13" x14ac:dyDescent="0.3">
      <c r="A80" s="5" t="s">
        <v>158</v>
      </c>
      <c r="B80" s="2">
        <v>67</v>
      </c>
      <c r="C80" s="2">
        <v>75.463768115942045</v>
      </c>
      <c r="E80" s="3" t="s">
        <v>93</v>
      </c>
      <c r="F80" s="2">
        <v>69</v>
      </c>
      <c r="G80" s="2">
        <v>80</v>
      </c>
      <c r="H80" s="2">
        <v>66</v>
      </c>
      <c r="J80" s="3" t="s">
        <v>93</v>
      </c>
      <c r="K80" s="2"/>
      <c r="L80" s="2">
        <v>75.578616352201266</v>
      </c>
      <c r="M80" s="2">
        <v>75.578616352201266</v>
      </c>
    </row>
    <row r="81" spans="1:13" x14ac:dyDescent="0.3">
      <c r="A81" s="6" t="s">
        <v>169</v>
      </c>
      <c r="B81" s="2">
        <v>67</v>
      </c>
      <c r="C81" s="2">
        <v>75.463768115942045</v>
      </c>
      <c r="E81" s="3" t="s">
        <v>94</v>
      </c>
      <c r="F81" s="2">
        <v>68</v>
      </c>
      <c r="G81" s="2">
        <v>99</v>
      </c>
      <c r="H81" s="2">
        <v>74</v>
      </c>
      <c r="J81" s="3" t="s">
        <v>94</v>
      </c>
      <c r="K81" s="2">
        <v>75.65384615384616</v>
      </c>
      <c r="L81" s="2"/>
      <c r="M81" s="2">
        <v>75.65384615384616</v>
      </c>
    </row>
    <row r="82" spans="1:13" x14ac:dyDescent="0.3">
      <c r="A82" s="7" t="s">
        <v>166</v>
      </c>
      <c r="B82" s="2">
        <v>67</v>
      </c>
      <c r="C82" s="2">
        <v>75.463768115942045</v>
      </c>
      <c r="E82" s="3" t="s">
        <v>95</v>
      </c>
      <c r="F82" s="2">
        <v>60</v>
      </c>
      <c r="G82" s="2">
        <v>68</v>
      </c>
      <c r="H82" s="2">
        <v>59</v>
      </c>
      <c r="J82" s="3" t="s">
        <v>95</v>
      </c>
      <c r="K82" s="2"/>
      <c r="L82" s="2">
        <v>75.562091503267993</v>
      </c>
      <c r="M82" s="2">
        <v>75.562091503267993</v>
      </c>
    </row>
    <row r="83" spans="1:13" x14ac:dyDescent="0.3">
      <c r="A83" s="3" t="s">
        <v>32</v>
      </c>
      <c r="B83" s="2">
        <v>77.666666666666657</v>
      </c>
      <c r="C83" s="2">
        <v>75.538011695906448</v>
      </c>
      <c r="E83" s="3" t="s">
        <v>96</v>
      </c>
      <c r="F83" s="2">
        <v>70</v>
      </c>
      <c r="G83" s="2">
        <v>73</v>
      </c>
      <c r="H83" s="2">
        <v>79</v>
      </c>
      <c r="J83" s="3" t="s">
        <v>96</v>
      </c>
      <c r="K83" s="2">
        <v>75.826666666666682</v>
      </c>
      <c r="L83" s="2"/>
      <c r="M83" s="2">
        <v>75.826666666666682</v>
      </c>
    </row>
    <row r="84" spans="1:13" x14ac:dyDescent="0.3">
      <c r="A84" s="4" t="s">
        <v>150</v>
      </c>
      <c r="B84" s="2">
        <v>77.666666666666657</v>
      </c>
      <c r="C84" s="2">
        <v>75.538011695906448</v>
      </c>
      <c r="E84" s="3" t="s">
        <v>97</v>
      </c>
      <c r="F84" s="2">
        <v>58</v>
      </c>
      <c r="G84" s="2">
        <v>52</v>
      </c>
      <c r="H84" s="2">
        <v>66</v>
      </c>
      <c r="J84" s="3" t="s">
        <v>97</v>
      </c>
      <c r="K84" s="2"/>
      <c r="L84" s="2">
        <v>75.863945578231309</v>
      </c>
      <c r="M84" s="2">
        <v>75.863945578231309</v>
      </c>
    </row>
    <row r="85" spans="1:13" x14ac:dyDescent="0.3">
      <c r="A85" s="5" t="s">
        <v>159</v>
      </c>
      <c r="B85" s="2">
        <v>77.666666666666657</v>
      </c>
      <c r="C85" s="2">
        <v>75.538011695906448</v>
      </c>
      <c r="E85" s="3" t="s">
        <v>98</v>
      </c>
      <c r="F85" s="2">
        <v>72</v>
      </c>
      <c r="G85" s="2">
        <v>83</v>
      </c>
      <c r="H85" s="2">
        <v>77</v>
      </c>
      <c r="J85" s="3" t="s">
        <v>98</v>
      </c>
      <c r="K85" s="2">
        <v>76.222222222222229</v>
      </c>
      <c r="L85" s="2"/>
      <c r="M85" s="2">
        <v>76.222222222222229</v>
      </c>
    </row>
    <row r="86" spans="1:13" x14ac:dyDescent="0.3">
      <c r="A86" s="6" t="s">
        <v>170</v>
      </c>
      <c r="B86" s="2">
        <v>77.666666666666657</v>
      </c>
      <c r="C86" s="2">
        <v>75.538011695906448</v>
      </c>
      <c r="E86" s="3" t="s">
        <v>99</v>
      </c>
      <c r="F86" s="2">
        <v>91</v>
      </c>
      <c r="G86" s="2">
        <v>59</v>
      </c>
      <c r="H86" s="2">
        <v>80</v>
      </c>
      <c r="J86" s="3" t="s">
        <v>99</v>
      </c>
      <c r="K86" s="2"/>
      <c r="L86" s="2">
        <v>76.198581560283699</v>
      </c>
      <c r="M86" s="2">
        <v>76.198581560283699</v>
      </c>
    </row>
    <row r="87" spans="1:13" x14ac:dyDescent="0.3">
      <c r="A87" s="7" t="s">
        <v>166</v>
      </c>
      <c r="B87" s="2">
        <v>77.666666666666657</v>
      </c>
      <c r="C87" s="2">
        <v>75.538011695906448</v>
      </c>
      <c r="E87" s="3" t="s">
        <v>100</v>
      </c>
      <c r="F87" s="2">
        <v>95</v>
      </c>
      <c r="G87" s="2">
        <v>66</v>
      </c>
      <c r="H87" s="2">
        <v>73</v>
      </c>
      <c r="J87" s="3" t="s">
        <v>100</v>
      </c>
      <c r="K87" s="2">
        <v>76.188405797101467</v>
      </c>
      <c r="L87" s="2"/>
      <c r="M87" s="2">
        <v>76.188405797101467</v>
      </c>
    </row>
    <row r="88" spans="1:13" x14ac:dyDescent="0.3">
      <c r="A88" s="3" t="s">
        <v>33</v>
      </c>
      <c r="B88" s="2">
        <v>65.666666666666657</v>
      </c>
      <c r="C88" s="2">
        <v>75.519174041297958</v>
      </c>
      <c r="E88" s="3" t="s">
        <v>101</v>
      </c>
      <c r="F88" s="2">
        <v>99</v>
      </c>
      <c r="G88" s="2">
        <v>74</v>
      </c>
      <c r="H88" s="2">
        <v>84</v>
      </c>
      <c r="J88" s="3" t="s">
        <v>101</v>
      </c>
      <c r="K88" s="2"/>
      <c r="L88" s="2">
        <v>76.148148148148167</v>
      </c>
      <c r="M88" s="2">
        <v>76.148148148148167</v>
      </c>
    </row>
    <row r="89" spans="1:13" x14ac:dyDescent="0.3">
      <c r="A89" s="4" t="s">
        <v>152</v>
      </c>
      <c r="B89" s="2">
        <v>65.666666666666657</v>
      </c>
      <c r="C89" s="2">
        <v>75.519174041297958</v>
      </c>
      <c r="E89" s="3" t="s">
        <v>102</v>
      </c>
      <c r="F89" s="2">
        <v>64</v>
      </c>
      <c r="G89" s="2">
        <v>59</v>
      </c>
      <c r="H89" s="2">
        <v>97</v>
      </c>
      <c r="J89" s="3" t="s">
        <v>102</v>
      </c>
      <c r="K89" s="2">
        <v>75.931818181818215</v>
      </c>
      <c r="L89" s="2"/>
      <c r="M89" s="2">
        <v>75.931818181818215</v>
      </c>
    </row>
    <row r="90" spans="1:13" x14ac:dyDescent="0.3">
      <c r="A90" s="5" t="s">
        <v>159</v>
      </c>
      <c r="B90" s="2">
        <v>65.666666666666657</v>
      </c>
      <c r="C90" s="2">
        <v>75.519174041297958</v>
      </c>
      <c r="E90" s="3" t="s">
        <v>103</v>
      </c>
      <c r="F90" s="2">
        <v>85</v>
      </c>
      <c r="G90" s="2">
        <v>79</v>
      </c>
      <c r="H90" s="2">
        <v>91</v>
      </c>
      <c r="J90" s="3" t="s">
        <v>103</v>
      </c>
      <c r="K90" s="2"/>
      <c r="L90" s="2">
        <v>75.99224806201552</v>
      </c>
      <c r="M90" s="2">
        <v>75.99224806201552</v>
      </c>
    </row>
    <row r="91" spans="1:13" x14ac:dyDescent="0.3">
      <c r="A91" s="6" t="s">
        <v>169</v>
      </c>
      <c r="B91" s="2">
        <v>65.666666666666657</v>
      </c>
      <c r="C91" s="2">
        <v>75.519174041297958</v>
      </c>
      <c r="E91" s="3" t="s">
        <v>104</v>
      </c>
      <c r="F91" s="2">
        <v>88</v>
      </c>
      <c r="G91" s="2">
        <v>66</v>
      </c>
      <c r="H91" s="2">
        <v>83</v>
      </c>
      <c r="J91" s="3" t="s">
        <v>104</v>
      </c>
      <c r="K91" s="2">
        <v>75.7777777777778</v>
      </c>
      <c r="L91" s="2"/>
      <c r="M91" s="2">
        <v>75.7777777777778</v>
      </c>
    </row>
    <row r="92" spans="1:13" x14ac:dyDescent="0.3">
      <c r="A92" s="7" t="s">
        <v>166</v>
      </c>
      <c r="B92" s="2">
        <v>65.666666666666657</v>
      </c>
      <c r="C92" s="2">
        <v>75.519174041297958</v>
      </c>
      <c r="E92" s="3" t="s">
        <v>105</v>
      </c>
      <c r="F92" s="2">
        <v>89</v>
      </c>
      <c r="G92" s="2">
        <v>68</v>
      </c>
      <c r="H92" s="2">
        <v>88</v>
      </c>
      <c r="J92" s="3" t="s">
        <v>105</v>
      </c>
      <c r="K92" s="2"/>
      <c r="L92" s="2">
        <v>75.699186991869936</v>
      </c>
      <c r="M92" s="2">
        <v>75.699186991869936</v>
      </c>
    </row>
    <row r="93" spans="1:13" x14ac:dyDescent="0.3">
      <c r="A93" s="3" t="s">
        <v>34</v>
      </c>
      <c r="B93" s="2">
        <v>69</v>
      </c>
      <c r="C93" s="2">
        <v>75.60714285714289</v>
      </c>
      <c r="E93" s="3" t="s">
        <v>106</v>
      </c>
      <c r="F93" s="2">
        <v>99</v>
      </c>
      <c r="G93" s="2">
        <v>60</v>
      </c>
      <c r="H93" s="2">
        <v>71</v>
      </c>
      <c r="J93" s="3" t="s">
        <v>106</v>
      </c>
      <c r="K93" s="2"/>
      <c r="L93" s="2">
        <v>75.550000000000011</v>
      </c>
      <c r="M93" s="2">
        <v>75.550000000000011</v>
      </c>
    </row>
    <row r="94" spans="1:13" x14ac:dyDescent="0.3">
      <c r="A94" s="4" t="s">
        <v>151</v>
      </c>
      <c r="B94" s="2">
        <v>69</v>
      </c>
      <c r="C94" s="2">
        <v>75.60714285714289</v>
      </c>
      <c r="E94" s="3" t="s">
        <v>107</v>
      </c>
      <c r="F94" s="2">
        <v>60</v>
      </c>
      <c r="G94" s="2">
        <v>70</v>
      </c>
      <c r="H94" s="2">
        <v>79</v>
      </c>
      <c r="J94" s="3" t="s">
        <v>107</v>
      </c>
      <c r="K94" s="2"/>
      <c r="L94" s="2">
        <v>75.521367521367537</v>
      </c>
      <c r="M94" s="2">
        <v>75.521367521367537</v>
      </c>
    </row>
    <row r="95" spans="1:13" x14ac:dyDescent="0.3">
      <c r="A95" s="5" t="s">
        <v>158</v>
      </c>
      <c r="B95" s="2">
        <v>69</v>
      </c>
      <c r="C95" s="2">
        <v>75.60714285714289</v>
      </c>
      <c r="E95" s="3" t="s">
        <v>108</v>
      </c>
      <c r="F95" s="2">
        <v>72</v>
      </c>
      <c r="G95" s="2">
        <v>58</v>
      </c>
      <c r="H95" s="2">
        <v>59</v>
      </c>
      <c r="J95" s="3" t="s">
        <v>108</v>
      </c>
      <c r="K95" s="2"/>
      <c r="L95" s="2">
        <v>75.675438596491233</v>
      </c>
      <c r="M95" s="2">
        <v>75.675438596491233</v>
      </c>
    </row>
    <row r="96" spans="1:13" x14ac:dyDescent="0.3">
      <c r="A96" s="6" t="s">
        <v>169</v>
      </c>
      <c r="B96" s="2">
        <v>69</v>
      </c>
      <c r="C96" s="2">
        <v>75.60714285714289</v>
      </c>
      <c r="E96" s="3" t="s">
        <v>109</v>
      </c>
      <c r="F96" s="2">
        <v>58</v>
      </c>
      <c r="G96" s="2">
        <v>72</v>
      </c>
      <c r="H96" s="2">
        <v>60</v>
      </c>
      <c r="J96" s="3" t="s">
        <v>109</v>
      </c>
      <c r="K96" s="2">
        <v>76.018018018018026</v>
      </c>
      <c r="L96" s="2"/>
      <c r="M96" s="2">
        <v>76.018018018018026</v>
      </c>
    </row>
    <row r="97" spans="1:13" x14ac:dyDescent="0.3">
      <c r="A97" s="7" t="s">
        <v>166</v>
      </c>
      <c r="B97" s="2">
        <v>69</v>
      </c>
      <c r="C97" s="2">
        <v>75.60714285714289</v>
      </c>
      <c r="E97" s="3" t="s">
        <v>110</v>
      </c>
      <c r="F97" s="2">
        <v>88</v>
      </c>
      <c r="G97" s="2">
        <v>91</v>
      </c>
      <c r="H97" s="2">
        <v>79</v>
      </c>
      <c r="J97" s="3" t="s">
        <v>110</v>
      </c>
      <c r="K97" s="2">
        <v>76.370370370370381</v>
      </c>
      <c r="L97" s="2"/>
      <c r="M97" s="2">
        <v>76.370370370370381</v>
      </c>
    </row>
    <row r="98" spans="1:13" x14ac:dyDescent="0.3">
      <c r="A98" s="3" t="s">
        <v>35</v>
      </c>
      <c r="B98" s="2">
        <v>67</v>
      </c>
      <c r="C98" s="2">
        <v>75.666666666666686</v>
      </c>
      <c r="E98" s="3" t="s">
        <v>111</v>
      </c>
      <c r="F98" s="2">
        <v>79</v>
      </c>
      <c r="G98" s="2">
        <v>95</v>
      </c>
      <c r="H98" s="2">
        <v>81</v>
      </c>
      <c r="J98" s="3" t="s">
        <v>111</v>
      </c>
      <c r="K98" s="2">
        <v>76.095238095238102</v>
      </c>
      <c r="L98" s="2"/>
      <c r="M98" s="2">
        <v>76.095238095238102</v>
      </c>
    </row>
    <row r="99" spans="1:13" x14ac:dyDescent="0.3">
      <c r="A99" s="4" t="s">
        <v>148</v>
      </c>
      <c r="B99" s="2">
        <v>67</v>
      </c>
      <c r="C99" s="2">
        <v>75.666666666666686</v>
      </c>
      <c r="E99" s="3" t="s">
        <v>112</v>
      </c>
      <c r="F99" s="2">
        <v>68</v>
      </c>
      <c r="G99" s="2">
        <v>99</v>
      </c>
      <c r="H99" s="2">
        <v>90</v>
      </c>
      <c r="J99" s="3" t="s">
        <v>112</v>
      </c>
      <c r="K99" s="2"/>
      <c r="L99" s="2">
        <v>75.833333333333329</v>
      </c>
      <c r="M99" s="2">
        <v>75.833333333333329</v>
      </c>
    </row>
    <row r="100" spans="1:13" x14ac:dyDescent="0.3">
      <c r="A100" s="5" t="s">
        <v>159</v>
      </c>
      <c r="B100" s="2">
        <v>67</v>
      </c>
      <c r="C100" s="2">
        <v>75.666666666666686</v>
      </c>
      <c r="E100" s="3" t="s">
        <v>113</v>
      </c>
      <c r="F100" s="2">
        <v>50</v>
      </c>
      <c r="G100" s="2">
        <v>64</v>
      </c>
      <c r="H100" s="2">
        <v>68</v>
      </c>
      <c r="J100" s="3" t="s">
        <v>113</v>
      </c>
      <c r="K100" s="2">
        <v>75.535353535353536</v>
      </c>
      <c r="L100" s="2"/>
      <c r="M100" s="2">
        <v>75.535353535353536</v>
      </c>
    </row>
    <row r="101" spans="1:13" x14ac:dyDescent="0.3">
      <c r="A101" s="6" t="s">
        <v>169</v>
      </c>
      <c r="B101" s="2">
        <v>67</v>
      </c>
      <c r="C101" s="2">
        <v>75.666666666666686</v>
      </c>
      <c r="E101" s="3" t="s">
        <v>114</v>
      </c>
      <c r="F101" s="2">
        <v>80</v>
      </c>
      <c r="G101" s="2">
        <v>85</v>
      </c>
      <c r="H101" s="2">
        <v>60</v>
      </c>
      <c r="J101" s="3" t="s">
        <v>114</v>
      </c>
      <c r="K101" s="2"/>
      <c r="L101" s="2">
        <v>75.999999999999986</v>
      </c>
      <c r="M101" s="2">
        <v>75.999999999999986</v>
      </c>
    </row>
    <row r="102" spans="1:13" x14ac:dyDescent="0.3">
      <c r="A102" s="7" t="s">
        <v>166</v>
      </c>
      <c r="B102" s="2">
        <v>67</v>
      </c>
      <c r="C102" s="2">
        <v>75.666666666666686</v>
      </c>
      <c r="E102" s="3" t="s">
        <v>115</v>
      </c>
      <c r="F102" s="2">
        <v>79</v>
      </c>
      <c r="G102" s="2">
        <v>88</v>
      </c>
      <c r="H102" s="2">
        <v>70</v>
      </c>
      <c r="J102" s="3" t="s">
        <v>115</v>
      </c>
      <c r="K102" s="2">
        <v>76.032258064516114</v>
      </c>
      <c r="L102" s="2"/>
      <c r="M102" s="2">
        <v>76.032258064516114</v>
      </c>
    </row>
    <row r="103" spans="1:13" x14ac:dyDescent="0.3">
      <c r="A103" s="3" t="s">
        <v>36</v>
      </c>
      <c r="B103" s="2">
        <v>83.666666666666671</v>
      </c>
      <c r="C103" s="2">
        <v>75.745454545454564</v>
      </c>
      <c r="E103" s="3" t="s">
        <v>116</v>
      </c>
      <c r="F103" s="2">
        <v>83</v>
      </c>
      <c r="G103" s="2">
        <v>89</v>
      </c>
      <c r="H103" s="2">
        <v>58</v>
      </c>
      <c r="J103" s="3" t="s">
        <v>116</v>
      </c>
      <c r="K103" s="2">
        <v>75.933333333333323</v>
      </c>
      <c r="L103" s="2"/>
      <c r="M103" s="2">
        <v>75.933333333333323</v>
      </c>
    </row>
    <row r="104" spans="1:13" x14ac:dyDescent="0.3">
      <c r="A104" s="4" t="s">
        <v>150</v>
      </c>
      <c r="B104" s="2">
        <v>83.666666666666671</v>
      </c>
      <c r="C104" s="2">
        <v>75.745454545454564</v>
      </c>
      <c r="E104" s="3" t="s">
        <v>117</v>
      </c>
      <c r="F104" s="2">
        <v>82</v>
      </c>
      <c r="G104" s="2">
        <v>99</v>
      </c>
      <c r="H104" s="2">
        <v>72</v>
      </c>
      <c r="J104" s="3" t="s">
        <v>117</v>
      </c>
      <c r="K104" s="2">
        <v>75.908045977011469</v>
      </c>
      <c r="L104" s="2"/>
      <c r="M104" s="2">
        <v>75.908045977011469</v>
      </c>
    </row>
    <row r="105" spans="1:13" x14ac:dyDescent="0.3">
      <c r="A105" s="5" t="s">
        <v>158</v>
      </c>
      <c r="B105" s="2">
        <v>83.666666666666671</v>
      </c>
      <c r="C105" s="2">
        <v>75.745454545454564</v>
      </c>
      <c r="E105" s="3" t="s">
        <v>118</v>
      </c>
      <c r="F105" s="2">
        <v>91</v>
      </c>
      <c r="G105" s="2">
        <v>60</v>
      </c>
      <c r="H105" s="2">
        <v>91</v>
      </c>
      <c r="J105" s="3" t="s">
        <v>118</v>
      </c>
      <c r="K105" s="2"/>
      <c r="L105" s="2">
        <v>75.607142857142847</v>
      </c>
      <c r="M105" s="2">
        <v>75.607142857142847</v>
      </c>
    </row>
    <row r="106" spans="1:13" x14ac:dyDescent="0.3">
      <c r="A106" s="6" t="s">
        <v>168</v>
      </c>
      <c r="B106" s="2">
        <v>83.666666666666671</v>
      </c>
      <c r="C106" s="2">
        <v>75.745454545454564</v>
      </c>
      <c r="E106" s="3" t="s">
        <v>119</v>
      </c>
      <c r="F106" s="2">
        <v>85</v>
      </c>
      <c r="G106" s="2">
        <v>72</v>
      </c>
      <c r="H106" s="2">
        <v>95</v>
      </c>
      <c r="J106" s="3" t="s">
        <v>119</v>
      </c>
      <c r="K106" s="2"/>
      <c r="L106" s="2">
        <v>75.419753086419746</v>
      </c>
      <c r="M106" s="2">
        <v>75.419753086419746</v>
      </c>
    </row>
    <row r="107" spans="1:13" x14ac:dyDescent="0.3">
      <c r="A107" s="7" t="s">
        <v>166</v>
      </c>
      <c r="B107" s="2">
        <v>83.666666666666671</v>
      </c>
      <c r="C107" s="2">
        <v>75.745454545454564</v>
      </c>
      <c r="E107" s="3" t="s">
        <v>120</v>
      </c>
      <c r="F107" s="2">
        <v>79</v>
      </c>
      <c r="G107" s="2">
        <v>58</v>
      </c>
      <c r="H107" s="2">
        <v>99</v>
      </c>
      <c r="J107" s="3" t="s">
        <v>120</v>
      </c>
      <c r="K107" s="2"/>
      <c r="L107" s="2">
        <v>75.089743589743577</v>
      </c>
      <c r="M107" s="2">
        <v>75.089743589743577</v>
      </c>
    </row>
    <row r="108" spans="1:13" x14ac:dyDescent="0.3">
      <c r="A108" s="3" t="s">
        <v>37</v>
      </c>
      <c r="B108" s="2">
        <v>83</v>
      </c>
      <c r="C108" s="2">
        <v>75.672782874617752</v>
      </c>
      <c r="E108" s="3" t="s">
        <v>121</v>
      </c>
      <c r="F108" s="2">
        <v>60</v>
      </c>
      <c r="G108" s="2">
        <v>88</v>
      </c>
      <c r="H108" s="2">
        <v>64</v>
      </c>
      <c r="J108" s="3" t="s">
        <v>121</v>
      </c>
      <c r="K108" s="2"/>
      <c r="L108" s="2">
        <v>74.946666666666658</v>
      </c>
      <c r="M108" s="2">
        <v>74.946666666666658</v>
      </c>
    </row>
    <row r="109" spans="1:13" x14ac:dyDescent="0.3">
      <c r="A109" s="4" t="s">
        <v>151</v>
      </c>
      <c r="B109" s="2">
        <v>83</v>
      </c>
      <c r="C109" s="2">
        <v>75.672782874617752</v>
      </c>
      <c r="E109" s="3" t="s">
        <v>122</v>
      </c>
      <c r="F109" s="2">
        <v>59</v>
      </c>
      <c r="G109" s="2">
        <v>79</v>
      </c>
      <c r="H109" s="2">
        <v>85</v>
      </c>
      <c r="J109" s="3" t="s">
        <v>122</v>
      </c>
      <c r="K109" s="2"/>
      <c r="L109" s="2">
        <v>75.125</v>
      </c>
      <c r="M109" s="2">
        <v>75.125</v>
      </c>
    </row>
    <row r="110" spans="1:13" x14ac:dyDescent="0.3">
      <c r="A110" s="5" t="s">
        <v>159</v>
      </c>
      <c r="B110" s="2">
        <v>83</v>
      </c>
      <c r="C110" s="2">
        <v>75.672782874617752</v>
      </c>
      <c r="E110" s="3" t="s">
        <v>123</v>
      </c>
      <c r="F110" s="2">
        <v>69</v>
      </c>
      <c r="G110" s="2">
        <v>68</v>
      </c>
      <c r="H110" s="2">
        <v>88</v>
      </c>
      <c r="J110" s="3" t="s">
        <v>123</v>
      </c>
      <c r="K110" s="2"/>
      <c r="L110" s="2">
        <v>75.159420289855063</v>
      </c>
      <c r="M110" s="2">
        <v>75.159420289855063</v>
      </c>
    </row>
    <row r="111" spans="1:13" x14ac:dyDescent="0.3">
      <c r="A111" s="6" t="s">
        <v>168</v>
      </c>
      <c r="B111" s="2">
        <v>83</v>
      </c>
      <c r="C111" s="2">
        <v>75.672782874617752</v>
      </c>
      <c r="E111" s="3" t="s">
        <v>124</v>
      </c>
      <c r="F111" s="2">
        <v>68</v>
      </c>
      <c r="G111" s="2">
        <v>50</v>
      </c>
      <c r="H111" s="2">
        <v>89</v>
      </c>
      <c r="J111" s="3" t="s">
        <v>124</v>
      </c>
      <c r="K111" s="2"/>
      <c r="L111" s="2">
        <v>75.166666666666657</v>
      </c>
      <c r="M111" s="2">
        <v>75.166666666666657</v>
      </c>
    </row>
    <row r="112" spans="1:13" x14ac:dyDescent="0.3">
      <c r="A112" s="7" t="s">
        <v>166</v>
      </c>
      <c r="B112" s="2">
        <v>83</v>
      </c>
      <c r="C112" s="2">
        <v>75.672782874617752</v>
      </c>
      <c r="E112" s="3" t="s">
        <v>125</v>
      </c>
      <c r="F112" s="2">
        <v>60</v>
      </c>
      <c r="G112" s="2">
        <v>80</v>
      </c>
      <c r="H112" s="2">
        <v>99</v>
      </c>
      <c r="J112" s="3" t="s">
        <v>125</v>
      </c>
      <c r="K112" s="2">
        <v>75.460317460317455</v>
      </c>
      <c r="L112" s="2"/>
      <c r="M112" s="2">
        <v>75.460317460317455</v>
      </c>
    </row>
    <row r="113" spans="1:13" x14ac:dyDescent="0.3">
      <c r="A113" s="3" t="s">
        <v>38</v>
      </c>
      <c r="B113" s="2">
        <v>64</v>
      </c>
      <c r="C113" s="2">
        <v>75.604938271604951</v>
      </c>
      <c r="E113" s="3" t="s">
        <v>126</v>
      </c>
      <c r="F113" s="2">
        <v>70</v>
      </c>
      <c r="G113" s="2">
        <v>79</v>
      </c>
      <c r="H113" s="2">
        <v>60</v>
      </c>
      <c r="J113" s="3" t="s">
        <v>126</v>
      </c>
      <c r="K113" s="2">
        <v>75.25</v>
      </c>
      <c r="L113" s="2"/>
      <c r="M113" s="2">
        <v>75.25</v>
      </c>
    </row>
    <row r="114" spans="1:13" x14ac:dyDescent="0.3">
      <c r="A114" s="4" t="s">
        <v>148</v>
      </c>
      <c r="B114" s="2">
        <v>64</v>
      </c>
      <c r="C114" s="2">
        <v>75.604938271604951</v>
      </c>
      <c r="E114" s="3" t="s">
        <v>127</v>
      </c>
      <c r="F114" s="2">
        <v>58</v>
      </c>
      <c r="G114" s="2">
        <v>83</v>
      </c>
      <c r="H114" s="2">
        <v>72</v>
      </c>
      <c r="J114" s="3" t="s">
        <v>127</v>
      </c>
      <c r="K114" s="2">
        <v>75.543859649122808</v>
      </c>
      <c r="L114" s="2"/>
      <c r="M114" s="2">
        <v>75.543859649122808</v>
      </c>
    </row>
    <row r="115" spans="1:13" x14ac:dyDescent="0.3">
      <c r="A115" s="5" t="s">
        <v>158</v>
      </c>
      <c r="B115" s="2">
        <v>64</v>
      </c>
      <c r="C115" s="2">
        <v>75.604938271604951</v>
      </c>
      <c r="E115" s="3" t="s">
        <v>128</v>
      </c>
      <c r="F115" s="2">
        <v>72</v>
      </c>
      <c r="G115" s="2">
        <v>82</v>
      </c>
      <c r="H115" s="2">
        <v>58</v>
      </c>
      <c r="J115" s="3" t="s">
        <v>128</v>
      </c>
      <c r="K115" s="2"/>
      <c r="L115" s="2">
        <v>75.796296296296291</v>
      </c>
      <c r="M115" s="2">
        <v>75.796296296296291</v>
      </c>
    </row>
    <row r="116" spans="1:13" x14ac:dyDescent="0.3">
      <c r="A116" s="6" t="s">
        <v>169</v>
      </c>
      <c r="B116" s="2">
        <v>64</v>
      </c>
      <c r="C116" s="2">
        <v>75.604938271604951</v>
      </c>
      <c r="E116" s="3" t="s">
        <v>129</v>
      </c>
      <c r="F116" s="2">
        <v>91</v>
      </c>
      <c r="G116" s="2">
        <v>91</v>
      </c>
      <c r="H116" s="2">
        <v>88</v>
      </c>
      <c r="J116" s="3" t="s">
        <v>129</v>
      </c>
      <c r="K116" s="2">
        <v>76.098039215686285</v>
      </c>
      <c r="L116" s="2"/>
      <c r="M116" s="2">
        <v>76.098039215686285</v>
      </c>
    </row>
    <row r="117" spans="1:13" x14ac:dyDescent="0.3">
      <c r="A117" s="7" t="s">
        <v>166</v>
      </c>
      <c r="B117" s="2">
        <v>64</v>
      </c>
      <c r="C117" s="2">
        <v>75.604938271604951</v>
      </c>
      <c r="E117" s="3" t="s">
        <v>130</v>
      </c>
      <c r="F117" s="2">
        <v>95</v>
      </c>
      <c r="G117" s="2">
        <v>85</v>
      </c>
      <c r="H117" s="2">
        <v>79</v>
      </c>
      <c r="J117" s="3" t="s">
        <v>130</v>
      </c>
      <c r="K117" s="2"/>
      <c r="L117" s="2">
        <v>75.229166666666671</v>
      </c>
      <c r="M117" s="2">
        <v>75.229166666666671</v>
      </c>
    </row>
    <row r="118" spans="1:13" x14ac:dyDescent="0.3">
      <c r="A118" s="3" t="s">
        <v>39</v>
      </c>
      <c r="B118" s="2">
        <v>64.666666666666657</v>
      </c>
      <c r="C118" s="2">
        <v>75.713395638629294</v>
      </c>
      <c r="E118" s="3" t="s">
        <v>131</v>
      </c>
      <c r="F118" s="2">
        <v>99</v>
      </c>
      <c r="G118" s="2">
        <v>79</v>
      </c>
      <c r="H118" s="2">
        <v>68</v>
      </c>
      <c r="J118" s="3" t="s">
        <v>131</v>
      </c>
      <c r="K118" s="2">
        <v>74.488888888888894</v>
      </c>
      <c r="L118" s="2"/>
      <c r="M118" s="2">
        <v>74.488888888888894</v>
      </c>
    </row>
    <row r="119" spans="1:13" x14ac:dyDescent="0.3">
      <c r="A119" s="4" t="s">
        <v>149</v>
      </c>
      <c r="B119" s="2">
        <v>64.666666666666657</v>
      </c>
      <c r="C119" s="2">
        <v>75.713395638629294</v>
      </c>
      <c r="E119" s="3" t="s">
        <v>132</v>
      </c>
      <c r="F119" s="2">
        <v>77</v>
      </c>
      <c r="G119" s="2">
        <v>60</v>
      </c>
      <c r="H119" s="2">
        <v>50</v>
      </c>
      <c r="J119" s="3" t="s">
        <v>132</v>
      </c>
      <c r="K119" s="2">
        <v>73.952380952380949</v>
      </c>
      <c r="L119" s="2"/>
      <c r="M119" s="2">
        <v>73.952380952380949</v>
      </c>
    </row>
    <row r="120" spans="1:13" x14ac:dyDescent="0.3">
      <c r="A120" s="5" t="s">
        <v>159</v>
      </c>
      <c r="B120" s="2">
        <v>64.666666666666657</v>
      </c>
      <c r="C120" s="2">
        <v>75.713395638629294</v>
      </c>
      <c r="E120" s="3" t="s">
        <v>133</v>
      </c>
      <c r="F120" s="2">
        <v>57</v>
      </c>
      <c r="G120" s="2">
        <v>59</v>
      </c>
      <c r="H120" s="2">
        <v>80</v>
      </c>
      <c r="J120" s="3" t="s">
        <v>133</v>
      </c>
      <c r="K120" s="2">
        <v>74.84615384615384</v>
      </c>
      <c r="L120" s="2"/>
      <c r="M120" s="2">
        <v>74.84615384615384</v>
      </c>
    </row>
    <row r="121" spans="1:13" x14ac:dyDescent="0.3">
      <c r="A121" s="6" t="s">
        <v>169</v>
      </c>
      <c r="B121" s="2">
        <v>64.666666666666657</v>
      </c>
      <c r="C121" s="2">
        <v>75.713395638629294</v>
      </c>
      <c r="E121" s="3" t="s">
        <v>134</v>
      </c>
      <c r="F121" s="2">
        <v>98</v>
      </c>
      <c r="G121" s="2">
        <v>69</v>
      </c>
      <c r="H121" s="2">
        <v>79</v>
      </c>
      <c r="J121" s="3" t="s">
        <v>134</v>
      </c>
      <c r="K121" s="2"/>
      <c r="L121" s="2">
        <v>75.638888888888886</v>
      </c>
      <c r="M121" s="2">
        <v>75.638888888888886</v>
      </c>
    </row>
    <row r="122" spans="1:13" x14ac:dyDescent="0.3">
      <c r="A122" s="7" t="s">
        <v>166</v>
      </c>
      <c r="B122" s="2">
        <v>64.666666666666657</v>
      </c>
      <c r="C122" s="2">
        <v>75.713395638629294</v>
      </c>
      <c r="E122" s="3" t="s">
        <v>135</v>
      </c>
      <c r="F122" s="2">
        <v>88</v>
      </c>
      <c r="G122" s="2">
        <v>68</v>
      </c>
      <c r="H122" s="2">
        <v>83</v>
      </c>
      <c r="J122" s="3" t="s">
        <v>135</v>
      </c>
      <c r="K122" s="2"/>
      <c r="L122" s="2">
        <v>75.060606060606062</v>
      </c>
      <c r="M122" s="2">
        <v>75.060606060606062</v>
      </c>
    </row>
    <row r="123" spans="1:13" x14ac:dyDescent="0.3">
      <c r="A123" s="3" t="s">
        <v>40</v>
      </c>
      <c r="B123" s="2">
        <v>82.666666666666671</v>
      </c>
      <c r="C123" s="2">
        <v>75.817610062893095</v>
      </c>
      <c r="E123" s="3" t="s">
        <v>136</v>
      </c>
      <c r="F123" s="2">
        <v>69</v>
      </c>
      <c r="G123" s="2">
        <v>60</v>
      </c>
      <c r="H123" s="2">
        <v>82</v>
      </c>
      <c r="J123" s="3" t="s">
        <v>136</v>
      </c>
      <c r="K123" s="2">
        <v>74.599999999999994</v>
      </c>
      <c r="L123" s="2"/>
      <c r="M123" s="2">
        <v>74.599999999999994</v>
      </c>
    </row>
    <row r="124" spans="1:13" x14ac:dyDescent="0.3">
      <c r="A124" s="4" t="s">
        <v>151</v>
      </c>
      <c r="B124" s="2">
        <v>82.666666666666671</v>
      </c>
      <c r="C124" s="2">
        <v>75.817610062893095</v>
      </c>
      <c r="E124" s="3" t="s">
        <v>137</v>
      </c>
      <c r="F124" s="2">
        <v>73</v>
      </c>
      <c r="G124" s="2">
        <v>85</v>
      </c>
      <c r="H124" s="2">
        <v>91</v>
      </c>
      <c r="J124" s="3" t="s">
        <v>137</v>
      </c>
      <c r="K124" s="2">
        <v>75.074074074074076</v>
      </c>
      <c r="L124" s="2"/>
      <c r="M124" s="2">
        <v>75.074074074074076</v>
      </c>
    </row>
    <row r="125" spans="1:13" x14ac:dyDescent="0.3">
      <c r="A125" s="5" t="s">
        <v>158</v>
      </c>
      <c r="B125" s="2">
        <v>82.666666666666671</v>
      </c>
      <c r="C125" s="2">
        <v>75.817610062893095</v>
      </c>
      <c r="E125" s="3" t="s">
        <v>138</v>
      </c>
      <c r="F125" s="2">
        <v>32</v>
      </c>
      <c r="G125" s="2">
        <v>70</v>
      </c>
      <c r="H125" s="2">
        <v>85</v>
      </c>
      <c r="J125" s="3" t="s">
        <v>138</v>
      </c>
      <c r="K125" s="2">
        <v>74.083333333333314</v>
      </c>
      <c r="L125" s="2"/>
      <c r="M125" s="2">
        <v>74.083333333333314</v>
      </c>
    </row>
    <row r="126" spans="1:13" x14ac:dyDescent="0.3">
      <c r="A126" s="6" t="s">
        <v>168</v>
      </c>
      <c r="B126" s="2">
        <v>82.666666666666671</v>
      </c>
      <c r="C126" s="2">
        <v>75.817610062893095</v>
      </c>
      <c r="E126" s="3" t="s">
        <v>139</v>
      </c>
      <c r="F126" s="2">
        <v>58</v>
      </c>
      <c r="G126" s="2">
        <v>89</v>
      </c>
      <c r="H126" s="2">
        <v>79</v>
      </c>
      <c r="J126" s="3" t="s">
        <v>139</v>
      </c>
      <c r="K126" s="2"/>
      <c r="L126" s="2">
        <v>75.761904761904745</v>
      </c>
      <c r="M126" s="2">
        <v>75.761904761904745</v>
      </c>
    </row>
    <row r="127" spans="1:13" x14ac:dyDescent="0.3">
      <c r="A127" s="7" t="s">
        <v>166</v>
      </c>
      <c r="B127" s="2">
        <v>82.666666666666671</v>
      </c>
      <c r="C127" s="2">
        <v>75.817610062893095</v>
      </c>
      <c r="E127" s="3" t="s">
        <v>140</v>
      </c>
      <c r="F127" s="2">
        <v>46</v>
      </c>
      <c r="G127" s="2">
        <v>97</v>
      </c>
      <c r="H127" s="2">
        <v>60</v>
      </c>
      <c r="J127" s="3" t="s">
        <v>140</v>
      </c>
      <c r="K127" s="2"/>
      <c r="L127" s="2">
        <v>75.833333333333343</v>
      </c>
      <c r="M127" s="2">
        <v>75.833333333333343</v>
      </c>
    </row>
    <row r="128" spans="1:13" x14ac:dyDescent="0.3">
      <c r="A128" s="3" t="s">
        <v>41</v>
      </c>
      <c r="B128" s="2">
        <v>70.333333333333343</v>
      </c>
      <c r="C128" s="2">
        <v>75.75238095238096</v>
      </c>
      <c r="E128" s="3" t="s">
        <v>141</v>
      </c>
      <c r="F128" s="2">
        <v>80</v>
      </c>
      <c r="G128" s="2">
        <v>93</v>
      </c>
      <c r="H128" s="2">
        <v>59</v>
      </c>
      <c r="J128" s="3" t="s">
        <v>141</v>
      </c>
      <c r="K128" s="2"/>
      <c r="L128" s="2">
        <v>77.466666666666669</v>
      </c>
      <c r="M128" s="2">
        <v>77.466666666666669</v>
      </c>
    </row>
    <row r="129" spans="1:13" x14ac:dyDescent="0.3">
      <c r="A129" s="4" t="s">
        <v>148</v>
      </c>
      <c r="B129" s="2">
        <v>70.333333333333343</v>
      </c>
      <c r="C129" s="2">
        <v>75.75238095238096</v>
      </c>
      <c r="E129" s="3" t="s">
        <v>142</v>
      </c>
      <c r="F129" s="2">
        <v>99</v>
      </c>
      <c r="G129" s="2">
        <v>65</v>
      </c>
      <c r="H129" s="2">
        <v>69</v>
      </c>
      <c r="J129" s="3" t="s">
        <v>142</v>
      </c>
      <c r="K129" s="2">
        <v>77.5</v>
      </c>
      <c r="L129" s="2"/>
      <c r="M129" s="2">
        <v>77.5</v>
      </c>
    </row>
    <row r="130" spans="1:13" x14ac:dyDescent="0.3">
      <c r="A130" s="5" t="s">
        <v>158</v>
      </c>
      <c r="B130" s="2">
        <v>70.333333333333343</v>
      </c>
      <c r="C130" s="2">
        <v>75.75238095238096</v>
      </c>
      <c r="E130" s="3" t="s">
        <v>143</v>
      </c>
      <c r="F130" s="2">
        <v>68</v>
      </c>
      <c r="G130" s="2">
        <v>99</v>
      </c>
      <c r="H130" s="2">
        <v>68</v>
      </c>
      <c r="J130" s="3" t="s">
        <v>143</v>
      </c>
      <c r="K130" s="2">
        <v>77.444444444444457</v>
      </c>
      <c r="L130" s="2"/>
      <c r="M130" s="2">
        <v>77.444444444444457</v>
      </c>
    </row>
    <row r="131" spans="1:13" x14ac:dyDescent="0.3">
      <c r="A131" s="6" t="s">
        <v>170</v>
      </c>
      <c r="B131" s="2">
        <v>70.333333333333343</v>
      </c>
      <c r="C131" s="2">
        <v>75.75238095238096</v>
      </c>
      <c r="E131" s="3" t="s">
        <v>144</v>
      </c>
      <c r="F131" s="2">
        <v>73</v>
      </c>
      <c r="G131" s="2">
        <v>81</v>
      </c>
      <c r="H131" s="2">
        <v>60</v>
      </c>
      <c r="J131" s="3" t="s">
        <v>144</v>
      </c>
      <c r="K131" s="2">
        <v>77</v>
      </c>
      <c r="L131" s="2"/>
      <c r="M131" s="2">
        <v>77</v>
      </c>
    </row>
    <row r="132" spans="1:13" x14ac:dyDescent="0.3">
      <c r="A132" s="7" t="s">
        <v>166</v>
      </c>
      <c r="B132" s="2">
        <v>70.333333333333343</v>
      </c>
      <c r="C132" s="2">
        <v>75.75238095238096</v>
      </c>
      <c r="E132" s="3" t="s">
        <v>145</v>
      </c>
      <c r="F132" s="2">
        <v>52</v>
      </c>
      <c r="G132" s="2">
        <v>97</v>
      </c>
      <c r="H132" s="2">
        <v>99</v>
      </c>
      <c r="J132" s="3" t="s">
        <v>145</v>
      </c>
      <c r="K132" s="2"/>
      <c r="L132" s="2">
        <v>82.666666666666671</v>
      </c>
      <c r="M132" s="2">
        <v>82.666666666666671</v>
      </c>
    </row>
    <row r="133" spans="1:13" x14ac:dyDescent="0.3">
      <c r="A133" s="3" t="s">
        <v>42</v>
      </c>
      <c r="B133" s="2">
        <v>86.666666666666671</v>
      </c>
      <c r="C133" s="2">
        <v>75.804487179487197</v>
      </c>
      <c r="E133" s="3" t="s">
        <v>161</v>
      </c>
      <c r="F133" s="2">
        <v>9775</v>
      </c>
      <c r="G133" s="2">
        <v>9913</v>
      </c>
      <c r="H133" s="2">
        <v>9781</v>
      </c>
      <c r="J133" s="3" t="s">
        <v>161</v>
      </c>
      <c r="K133" s="2">
        <v>4989.074783019003</v>
      </c>
      <c r="L133" s="2">
        <v>4844.4773650337802</v>
      </c>
      <c r="M133" s="2">
        <v>9833.5521480527841</v>
      </c>
    </row>
    <row r="134" spans="1:13" x14ac:dyDescent="0.3">
      <c r="A134" s="4" t="s">
        <v>148</v>
      </c>
      <c r="B134" s="2">
        <v>86.666666666666671</v>
      </c>
      <c r="C134" s="2">
        <v>75.804487179487197</v>
      </c>
    </row>
    <row r="135" spans="1:13" x14ac:dyDescent="0.3">
      <c r="A135" s="5" t="s">
        <v>158</v>
      </c>
      <c r="B135" s="2">
        <v>86.666666666666671</v>
      </c>
      <c r="C135" s="2">
        <v>75.804487179487197</v>
      </c>
    </row>
    <row r="136" spans="1:13" x14ac:dyDescent="0.3">
      <c r="A136" s="6" t="s">
        <v>168</v>
      </c>
      <c r="B136" s="2">
        <v>86.666666666666671</v>
      </c>
      <c r="C136" s="2">
        <v>75.804487179487197</v>
      </c>
    </row>
    <row r="137" spans="1:13" x14ac:dyDescent="0.3">
      <c r="A137" s="7" t="s">
        <v>166</v>
      </c>
      <c r="B137" s="2">
        <v>86.666666666666671</v>
      </c>
      <c r="C137" s="2">
        <v>75.804487179487197</v>
      </c>
    </row>
    <row r="138" spans="1:13" x14ac:dyDescent="0.3">
      <c r="A138" s="3" t="s">
        <v>43</v>
      </c>
      <c r="B138" s="2">
        <v>75.666666666666671</v>
      </c>
      <c r="C138" s="2">
        <v>75.699029126213617</v>
      </c>
    </row>
    <row r="139" spans="1:13" x14ac:dyDescent="0.3">
      <c r="A139" s="4" t="s">
        <v>152</v>
      </c>
      <c r="B139" s="2">
        <v>75.666666666666671</v>
      </c>
      <c r="C139" s="2">
        <v>75.699029126213617</v>
      </c>
    </row>
    <row r="140" spans="1:13" x14ac:dyDescent="0.3">
      <c r="A140" s="5" t="s">
        <v>159</v>
      </c>
      <c r="B140" s="2">
        <v>75.666666666666671</v>
      </c>
      <c r="C140" s="2">
        <v>75.699029126213617</v>
      </c>
    </row>
    <row r="141" spans="1:13" x14ac:dyDescent="0.3">
      <c r="A141" s="6" t="s">
        <v>170</v>
      </c>
      <c r="B141" s="2">
        <v>75.666666666666671</v>
      </c>
      <c r="C141" s="2">
        <v>75.699029126213617</v>
      </c>
    </row>
    <row r="142" spans="1:13" x14ac:dyDescent="0.3">
      <c r="A142" s="7" t="s">
        <v>166</v>
      </c>
      <c r="B142" s="2">
        <v>75.666666666666671</v>
      </c>
      <c r="C142" s="2">
        <v>75.699029126213617</v>
      </c>
    </row>
    <row r="143" spans="1:13" x14ac:dyDescent="0.3">
      <c r="A143" s="3" t="s">
        <v>44</v>
      </c>
      <c r="B143" s="2">
        <v>69.666666666666671</v>
      </c>
      <c r="C143" s="2">
        <v>75.699346405228766</v>
      </c>
    </row>
    <row r="144" spans="1:13" x14ac:dyDescent="0.3">
      <c r="A144" s="4" t="s">
        <v>150</v>
      </c>
      <c r="B144" s="2">
        <v>69.666666666666671</v>
      </c>
      <c r="C144" s="2">
        <v>75.699346405228766</v>
      </c>
    </row>
    <row r="145" spans="1:3" x14ac:dyDescent="0.3">
      <c r="A145" s="5" t="s">
        <v>158</v>
      </c>
      <c r="B145" s="2">
        <v>69.666666666666671</v>
      </c>
      <c r="C145" s="2">
        <v>75.699346405228766</v>
      </c>
    </row>
    <row r="146" spans="1:3" x14ac:dyDescent="0.3">
      <c r="A146" s="6" t="s">
        <v>169</v>
      </c>
      <c r="B146" s="2">
        <v>69.666666666666671</v>
      </c>
      <c r="C146" s="2">
        <v>75.699346405228766</v>
      </c>
    </row>
    <row r="147" spans="1:3" x14ac:dyDescent="0.3">
      <c r="A147" s="7" t="s">
        <v>166</v>
      </c>
      <c r="B147" s="2">
        <v>69.666666666666671</v>
      </c>
      <c r="C147" s="2">
        <v>75.699346405228766</v>
      </c>
    </row>
    <row r="148" spans="1:3" x14ac:dyDescent="0.3">
      <c r="A148" s="3" t="s">
        <v>45</v>
      </c>
      <c r="B148" s="2">
        <v>77</v>
      </c>
      <c r="C148" s="2">
        <v>75.75907590759077</v>
      </c>
    </row>
    <row r="149" spans="1:3" x14ac:dyDescent="0.3">
      <c r="A149" s="4" t="s">
        <v>151</v>
      </c>
      <c r="B149" s="2">
        <v>77</v>
      </c>
      <c r="C149" s="2">
        <v>75.75907590759077</v>
      </c>
    </row>
    <row r="150" spans="1:3" x14ac:dyDescent="0.3">
      <c r="A150" s="5" t="s">
        <v>159</v>
      </c>
      <c r="B150" s="2">
        <v>77</v>
      </c>
      <c r="C150" s="2">
        <v>75.75907590759077</v>
      </c>
    </row>
    <row r="151" spans="1:3" x14ac:dyDescent="0.3">
      <c r="A151" s="6" t="s">
        <v>170</v>
      </c>
      <c r="B151" s="2">
        <v>77</v>
      </c>
      <c r="C151" s="2">
        <v>75.75907590759077</v>
      </c>
    </row>
    <row r="152" spans="1:3" x14ac:dyDescent="0.3">
      <c r="A152" s="7" t="s">
        <v>166</v>
      </c>
      <c r="B152" s="2">
        <v>77</v>
      </c>
      <c r="C152" s="2">
        <v>75.75907590759077</v>
      </c>
    </row>
    <row r="153" spans="1:3" x14ac:dyDescent="0.3">
      <c r="A153" s="3" t="s">
        <v>46</v>
      </c>
      <c r="B153" s="2">
        <v>79</v>
      </c>
      <c r="C153" s="2">
        <v>75.746666666666684</v>
      </c>
    </row>
    <row r="154" spans="1:3" x14ac:dyDescent="0.3">
      <c r="A154" s="4" t="s">
        <v>150</v>
      </c>
      <c r="B154" s="2">
        <v>79</v>
      </c>
      <c r="C154" s="2">
        <v>75.746666666666684</v>
      </c>
    </row>
    <row r="155" spans="1:3" x14ac:dyDescent="0.3">
      <c r="A155" s="5" t="s">
        <v>158</v>
      </c>
      <c r="B155" s="2">
        <v>79</v>
      </c>
      <c r="C155" s="2">
        <v>75.746666666666684</v>
      </c>
    </row>
    <row r="156" spans="1:3" x14ac:dyDescent="0.3">
      <c r="A156" s="6" t="s">
        <v>170</v>
      </c>
      <c r="B156" s="2">
        <v>79</v>
      </c>
      <c r="C156" s="2">
        <v>75.746666666666684</v>
      </c>
    </row>
    <row r="157" spans="1:3" x14ac:dyDescent="0.3">
      <c r="A157" s="7" t="s">
        <v>166</v>
      </c>
      <c r="B157" s="2">
        <v>79</v>
      </c>
      <c r="C157" s="2">
        <v>75.746666666666684</v>
      </c>
    </row>
    <row r="158" spans="1:3" x14ac:dyDescent="0.3">
      <c r="A158" s="3" t="s">
        <v>47</v>
      </c>
      <c r="B158" s="2">
        <v>81.333333333333329</v>
      </c>
      <c r="C158" s="2">
        <v>75.71380471380472</v>
      </c>
    </row>
    <row r="159" spans="1:3" x14ac:dyDescent="0.3">
      <c r="A159" s="4" t="s">
        <v>148</v>
      </c>
      <c r="B159" s="2">
        <v>81.333333333333329</v>
      </c>
      <c r="C159" s="2">
        <v>75.71380471380472</v>
      </c>
    </row>
    <row r="160" spans="1:3" x14ac:dyDescent="0.3">
      <c r="A160" s="5" t="s">
        <v>159</v>
      </c>
      <c r="B160" s="2">
        <v>81.333333333333329</v>
      </c>
      <c r="C160" s="2">
        <v>75.71380471380472</v>
      </c>
    </row>
    <row r="161" spans="1:3" x14ac:dyDescent="0.3">
      <c r="A161" s="6" t="s">
        <v>168</v>
      </c>
      <c r="B161" s="2">
        <v>81.333333333333329</v>
      </c>
      <c r="C161" s="2">
        <v>75.71380471380472</v>
      </c>
    </row>
    <row r="162" spans="1:3" x14ac:dyDescent="0.3">
      <c r="A162" s="7" t="s">
        <v>166</v>
      </c>
      <c r="B162" s="2">
        <v>81.333333333333329</v>
      </c>
      <c r="C162" s="2">
        <v>75.71380471380472</v>
      </c>
    </row>
    <row r="163" spans="1:3" x14ac:dyDescent="0.3">
      <c r="A163" s="3" t="s">
        <v>48</v>
      </c>
      <c r="B163" s="2">
        <v>74</v>
      </c>
      <c r="C163" s="2">
        <v>75.656462585034021</v>
      </c>
    </row>
    <row r="164" spans="1:3" x14ac:dyDescent="0.3">
      <c r="A164" s="4" t="s">
        <v>149</v>
      </c>
      <c r="B164" s="2">
        <v>74</v>
      </c>
      <c r="C164" s="2">
        <v>75.656462585034021</v>
      </c>
    </row>
    <row r="165" spans="1:3" x14ac:dyDescent="0.3">
      <c r="A165" s="5" t="s">
        <v>158</v>
      </c>
      <c r="B165" s="2">
        <v>74</v>
      </c>
      <c r="C165" s="2">
        <v>75.656462585034021</v>
      </c>
    </row>
    <row r="166" spans="1:3" x14ac:dyDescent="0.3">
      <c r="A166" s="6" t="s">
        <v>170</v>
      </c>
      <c r="B166" s="2">
        <v>74</v>
      </c>
      <c r="C166" s="2">
        <v>75.656462585034021</v>
      </c>
    </row>
    <row r="167" spans="1:3" x14ac:dyDescent="0.3">
      <c r="A167" s="7" t="s">
        <v>166</v>
      </c>
      <c r="B167" s="2">
        <v>74</v>
      </c>
      <c r="C167" s="2">
        <v>75.656462585034021</v>
      </c>
    </row>
    <row r="168" spans="1:3" x14ac:dyDescent="0.3">
      <c r="A168" s="3" t="s">
        <v>49</v>
      </c>
      <c r="B168" s="2">
        <v>73</v>
      </c>
      <c r="C168" s="2">
        <v>75.673539518900355</v>
      </c>
    </row>
    <row r="169" spans="1:3" x14ac:dyDescent="0.3">
      <c r="A169" s="4" t="s">
        <v>152</v>
      </c>
      <c r="B169" s="2">
        <v>73</v>
      </c>
      <c r="C169" s="2">
        <v>75.673539518900355</v>
      </c>
    </row>
    <row r="170" spans="1:3" x14ac:dyDescent="0.3">
      <c r="A170" s="5" t="s">
        <v>159</v>
      </c>
      <c r="B170" s="2">
        <v>73</v>
      </c>
      <c r="C170" s="2">
        <v>75.673539518900355</v>
      </c>
    </row>
    <row r="171" spans="1:3" x14ac:dyDescent="0.3">
      <c r="A171" s="6" t="s">
        <v>170</v>
      </c>
      <c r="B171" s="2">
        <v>73</v>
      </c>
      <c r="C171" s="2">
        <v>75.673539518900355</v>
      </c>
    </row>
    <row r="172" spans="1:3" x14ac:dyDescent="0.3">
      <c r="A172" s="7" t="s">
        <v>166</v>
      </c>
      <c r="B172" s="2">
        <v>73</v>
      </c>
      <c r="C172" s="2">
        <v>75.673539518900355</v>
      </c>
    </row>
    <row r="173" spans="1:3" x14ac:dyDescent="0.3">
      <c r="A173" s="3" t="s">
        <v>50</v>
      </c>
      <c r="B173" s="2">
        <v>72</v>
      </c>
      <c r="C173" s="2">
        <v>75.7013888888889</v>
      </c>
    </row>
    <row r="174" spans="1:3" x14ac:dyDescent="0.3">
      <c r="A174" s="4" t="s">
        <v>151</v>
      </c>
      <c r="B174" s="2">
        <v>72</v>
      </c>
      <c r="C174" s="2">
        <v>75.7013888888889</v>
      </c>
    </row>
    <row r="175" spans="1:3" x14ac:dyDescent="0.3">
      <c r="A175" s="5" t="s">
        <v>158</v>
      </c>
      <c r="B175" s="2">
        <v>72</v>
      </c>
      <c r="C175" s="2">
        <v>75.7013888888889</v>
      </c>
    </row>
    <row r="176" spans="1:3" x14ac:dyDescent="0.3">
      <c r="A176" s="6" t="s">
        <v>170</v>
      </c>
      <c r="B176" s="2">
        <v>72</v>
      </c>
      <c r="C176" s="2">
        <v>75.7013888888889</v>
      </c>
    </row>
    <row r="177" spans="1:3" x14ac:dyDescent="0.3">
      <c r="A177" s="7" t="s">
        <v>166</v>
      </c>
      <c r="B177" s="2">
        <v>72</v>
      </c>
      <c r="C177" s="2">
        <v>75.7013888888889</v>
      </c>
    </row>
    <row r="178" spans="1:3" x14ac:dyDescent="0.3">
      <c r="A178" s="3" t="s">
        <v>51</v>
      </c>
      <c r="B178" s="2">
        <v>80.333333333333329</v>
      </c>
      <c r="C178" s="2">
        <v>75.740350877192995</v>
      </c>
    </row>
    <row r="179" spans="1:3" x14ac:dyDescent="0.3">
      <c r="A179" s="4" t="s">
        <v>152</v>
      </c>
      <c r="B179" s="2">
        <v>80.333333333333329</v>
      </c>
      <c r="C179" s="2">
        <v>75.740350877192995</v>
      </c>
    </row>
    <row r="180" spans="1:3" x14ac:dyDescent="0.3">
      <c r="A180" s="5" t="s">
        <v>158</v>
      </c>
      <c r="B180" s="2">
        <v>80.333333333333329</v>
      </c>
      <c r="C180" s="2">
        <v>75.740350877192995</v>
      </c>
    </row>
    <row r="181" spans="1:3" x14ac:dyDescent="0.3">
      <c r="A181" s="6" t="s">
        <v>168</v>
      </c>
      <c r="B181" s="2">
        <v>80.333333333333329</v>
      </c>
      <c r="C181" s="2">
        <v>75.740350877192995</v>
      </c>
    </row>
    <row r="182" spans="1:3" x14ac:dyDescent="0.3">
      <c r="A182" s="7" t="s">
        <v>166</v>
      </c>
      <c r="B182" s="2">
        <v>80.333333333333329</v>
      </c>
      <c r="C182" s="2">
        <v>75.740350877192995</v>
      </c>
    </row>
    <row r="183" spans="1:3" x14ac:dyDescent="0.3">
      <c r="A183" s="3" t="s">
        <v>52</v>
      </c>
      <c r="B183" s="2">
        <v>79.666666666666657</v>
      </c>
      <c r="C183" s="2">
        <v>75.691489361702125</v>
      </c>
    </row>
    <row r="184" spans="1:3" x14ac:dyDescent="0.3">
      <c r="A184" s="4" t="s">
        <v>150</v>
      </c>
      <c r="B184" s="2">
        <v>79.666666666666657</v>
      </c>
      <c r="C184" s="2">
        <v>75.691489361702125</v>
      </c>
    </row>
    <row r="185" spans="1:3" x14ac:dyDescent="0.3">
      <c r="A185" s="5" t="s">
        <v>158</v>
      </c>
      <c r="B185" s="2">
        <v>79.666666666666657</v>
      </c>
      <c r="C185" s="2">
        <v>75.691489361702125</v>
      </c>
    </row>
    <row r="186" spans="1:3" x14ac:dyDescent="0.3">
      <c r="A186" s="6" t="s">
        <v>170</v>
      </c>
      <c r="B186" s="2">
        <v>79.666666666666657</v>
      </c>
      <c r="C186" s="2">
        <v>75.691489361702125</v>
      </c>
    </row>
    <row r="187" spans="1:3" x14ac:dyDescent="0.3">
      <c r="A187" s="7" t="s">
        <v>166</v>
      </c>
      <c r="B187" s="2">
        <v>79.666666666666657</v>
      </c>
      <c r="C187" s="2">
        <v>75.691489361702125</v>
      </c>
    </row>
    <row r="188" spans="1:3" x14ac:dyDescent="0.3">
      <c r="A188" s="3" t="s">
        <v>53</v>
      </c>
      <c r="B188" s="2">
        <v>75.333333333333329</v>
      </c>
      <c r="C188" s="2">
        <v>75.648745519713259</v>
      </c>
    </row>
    <row r="189" spans="1:3" x14ac:dyDescent="0.3">
      <c r="A189" s="4" t="s">
        <v>148</v>
      </c>
      <c r="B189" s="2">
        <v>75.333333333333329</v>
      </c>
      <c r="C189" s="2">
        <v>75.648745519713259</v>
      </c>
    </row>
    <row r="190" spans="1:3" x14ac:dyDescent="0.3">
      <c r="A190" s="5" t="s">
        <v>159</v>
      </c>
      <c r="B190" s="2">
        <v>75.333333333333329</v>
      </c>
      <c r="C190" s="2">
        <v>75.648745519713259</v>
      </c>
    </row>
    <row r="191" spans="1:3" x14ac:dyDescent="0.3">
      <c r="A191" s="6" t="s">
        <v>170</v>
      </c>
      <c r="B191" s="2">
        <v>75.333333333333329</v>
      </c>
      <c r="C191" s="2">
        <v>75.648745519713259</v>
      </c>
    </row>
    <row r="192" spans="1:3" x14ac:dyDescent="0.3">
      <c r="A192" s="7" t="s">
        <v>166</v>
      </c>
      <c r="B192" s="2">
        <v>75.333333333333329</v>
      </c>
      <c r="C192" s="2">
        <v>75.648745519713259</v>
      </c>
    </row>
    <row r="193" spans="1:3" x14ac:dyDescent="0.3">
      <c r="A193" s="3" t="s">
        <v>54</v>
      </c>
      <c r="B193" s="2">
        <v>78.333333333333329</v>
      </c>
      <c r="C193" s="2">
        <v>75.65217391304347</v>
      </c>
    </row>
    <row r="194" spans="1:3" x14ac:dyDescent="0.3">
      <c r="A194" s="4" t="s">
        <v>152</v>
      </c>
      <c r="B194" s="2">
        <v>78.333333333333329</v>
      </c>
      <c r="C194" s="2">
        <v>75.65217391304347</v>
      </c>
    </row>
    <row r="195" spans="1:3" x14ac:dyDescent="0.3">
      <c r="A195" s="5" t="s">
        <v>158</v>
      </c>
      <c r="B195" s="2">
        <v>78.333333333333329</v>
      </c>
      <c r="C195" s="2">
        <v>75.65217391304347</v>
      </c>
    </row>
    <row r="196" spans="1:3" x14ac:dyDescent="0.3">
      <c r="A196" s="6" t="s">
        <v>170</v>
      </c>
      <c r="B196" s="2">
        <v>78.333333333333329</v>
      </c>
      <c r="C196" s="2">
        <v>75.65217391304347</v>
      </c>
    </row>
    <row r="197" spans="1:3" x14ac:dyDescent="0.3">
      <c r="A197" s="7" t="s">
        <v>166</v>
      </c>
      <c r="B197" s="2">
        <v>78.333333333333329</v>
      </c>
      <c r="C197" s="2">
        <v>75.65217391304347</v>
      </c>
    </row>
    <row r="198" spans="1:3" x14ac:dyDescent="0.3">
      <c r="A198" s="3" t="s">
        <v>55</v>
      </c>
      <c r="B198" s="2">
        <v>74.333333333333329</v>
      </c>
      <c r="C198" s="2">
        <v>75.622710622710628</v>
      </c>
    </row>
    <row r="199" spans="1:3" x14ac:dyDescent="0.3">
      <c r="A199" s="4" t="s">
        <v>151</v>
      </c>
      <c r="B199" s="2">
        <v>74.333333333333329</v>
      </c>
      <c r="C199" s="2">
        <v>75.622710622710628</v>
      </c>
    </row>
    <row r="200" spans="1:3" x14ac:dyDescent="0.3">
      <c r="A200" s="5" t="s">
        <v>158</v>
      </c>
      <c r="B200" s="2">
        <v>74.333333333333329</v>
      </c>
      <c r="C200" s="2">
        <v>75.622710622710628</v>
      </c>
    </row>
    <row r="201" spans="1:3" x14ac:dyDescent="0.3">
      <c r="A201" s="6" t="s">
        <v>170</v>
      </c>
      <c r="B201" s="2">
        <v>74.333333333333329</v>
      </c>
      <c r="C201" s="2">
        <v>75.622710622710628</v>
      </c>
    </row>
    <row r="202" spans="1:3" x14ac:dyDescent="0.3">
      <c r="A202" s="7" t="s">
        <v>166</v>
      </c>
      <c r="B202" s="2">
        <v>74.333333333333329</v>
      </c>
      <c r="C202" s="2">
        <v>75.622710622710628</v>
      </c>
    </row>
    <row r="203" spans="1:3" x14ac:dyDescent="0.3">
      <c r="A203" s="3" t="s">
        <v>56</v>
      </c>
      <c r="B203" s="2">
        <v>72</v>
      </c>
      <c r="C203" s="2">
        <v>75.637037037037032</v>
      </c>
    </row>
    <row r="204" spans="1:3" x14ac:dyDescent="0.3">
      <c r="A204" s="4" t="s">
        <v>150</v>
      </c>
      <c r="B204" s="2">
        <v>72</v>
      </c>
      <c r="C204" s="2">
        <v>75.637037037037032</v>
      </c>
    </row>
    <row r="205" spans="1:3" x14ac:dyDescent="0.3">
      <c r="A205" s="5" t="s">
        <v>159</v>
      </c>
      <c r="B205" s="2">
        <v>72</v>
      </c>
      <c r="C205" s="2">
        <v>75.637037037037032</v>
      </c>
    </row>
    <row r="206" spans="1:3" x14ac:dyDescent="0.3">
      <c r="A206" s="6" t="s">
        <v>170</v>
      </c>
      <c r="B206" s="2">
        <v>72</v>
      </c>
      <c r="C206" s="2">
        <v>75.637037037037032</v>
      </c>
    </row>
    <row r="207" spans="1:3" x14ac:dyDescent="0.3">
      <c r="A207" s="7" t="s">
        <v>166</v>
      </c>
      <c r="B207" s="2">
        <v>72</v>
      </c>
      <c r="C207" s="2">
        <v>75.637037037037032</v>
      </c>
    </row>
    <row r="208" spans="1:3" x14ac:dyDescent="0.3">
      <c r="A208" s="3" t="s">
        <v>57</v>
      </c>
      <c r="B208" s="2">
        <v>71</v>
      </c>
      <c r="C208" s="2">
        <v>75.677902621722836</v>
      </c>
    </row>
    <row r="209" spans="1:3" x14ac:dyDescent="0.3">
      <c r="A209" s="4" t="s">
        <v>149</v>
      </c>
      <c r="B209" s="2">
        <v>71</v>
      </c>
      <c r="C209" s="2">
        <v>75.677902621722836</v>
      </c>
    </row>
    <row r="210" spans="1:3" x14ac:dyDescent="0.3">
      <c r="A210" s="5" t="s">
        <v>159</v>
      </c>
      <c r="B210" s="2">
        <v>71</v>
      </c>
      <c r="C210" s="2">
        <v>75.677902621722836</v>
      </c>
    </row>
    <row r="211" spans="1:3" x14ac:dyDescent="0.3">
      <c r="A211" s="6" t="s">
        <v>170</v>
      </c>
      <c r="B211" s="2">
        <v>71</v>
      </c>
      <c r="C211" s="2">
        <v>75.677902621722836</v>
      </c>
    </row>
    <row r="212" spans="1:3" x14ac:dyDescent="0.3">
      <c r="A212" s="7" t="s">
        <v>166</v>
      </c>
      <c r="B212" s="2">
        <v>71</v>
      </c>
      <c r="C212" s="2">
        <v>75.677902621722836</v>
      </c>
    </row>
    <row r="213" spans="1:3" x14ac:dyDescent="0.3">
      <c r="A213" s="3" t="s">
        <v>58</v>
      </c>
      <c r="B213" s="2">
        <v>74.666666666666671</v>
      </c>
      <c r="C213" s="2">
        <v>75.731060606060609</v>
      </c>
    </row>
    <row r="214" spans="1:3" x14ac:dyDescent="0.3">
      <c r="A214" s="4" t="s">
        <v>148</v>
      </c>
      <c r="B214" s="2">
        <v>74.666666666666671</v>
      </c>
      <c r="C214" s="2">
        <v>75.731060606060609</v>
      </c>
    </row>
    <row r="215" spans="1:3" x14ac:dyDescent="0.3">
      <c r="A215" s="5" t="s">
        <v>159</v>
      </c>
      <c r="B215" s="2">
        <v>74.666666666666671</v>
      </c>
      <c r="C215" s="2">
        <v>75.731060606060609</v>
      </c>
    </row>
    <row r="216" spans="1:3" x14ac:dyDescent="0.3">
      <c r="A216" s="6" t="s">
        <v>170</v>
      </c>
      <c r="B216" s="2">
        <v>74.666666666666671</v>
      </c>
      <c r="C216" s="2">
        <v>75.731060606060609</v>
      </c>
    </row>
    <row r="217" spans="1:3" x14ac:dyDescent="0.3">
      <c r="A217" s="7" t="s">
        <v>166</v>
      </c>
      <c r="B217" s="2">
        <v>74.666666666666671</v>
      </c>
      <c r="C217" s="2">
        <v>75.731060606060609</v>
      </c>
    </row>
    <row r="218" spans="1:3" x14ac:dyDescent="0.3">
      <c r="A218" s="3" t="s">
        <v>59</v>
      </c>
      <c r="B218" s="2">
        <v>68</v>
      </c>
      <c r="C218" s="2">
        <v>75.743295019157088</v>
      </c>
    </row>
    <row r="219" spans="1:3" x14ac:dyDescent="0.3">
      <c r="A219" s="4" t="s">
        <v>152</v>
      </c>
      <c r="B219" s="2">
        <v>68</v>
      </c>
      <c r="C219" s="2">
        <v>75.743295019157088</v>
      </c>
    </row>
    <row r="220" spans="1:3" x14ac:dyDescent="0.3">
      <c r="A220" s="5" t="s">
        <v>158</v>
      </c>
      <c r="B220" s="2">
        <v>68</v>
      </c>
      <c r="C220" s="2">
        <v>75.743295019157088</v>
      </c>
    </row>
    <row r="221" spans="1:3" x14ac:dyDescent="0.3">
      <c r="A221" s="6" t="s">
        <v>169</v>
      </c>
      <c r="B221" s="2">
        <v>68</v>
      </c>
      <c r="C221" s="2">
        <v>75.743295019157088</v>
      </c>
    </row>
    <row r="222" spans="1:3" x14ac:dyDescent="0.3">
      <c r="A222" s="7" t="s">
        <v>166</v>
      </c>
      <c r="B222" s="2">
        <v>68</v>
      </c>
      <c r="C222" s="2">
        <v>75.743295019157088</v>
      </c>
    </row>
    <row r="223" spans="1:3" x14ac:dyDescent="0.3">
      <c r="A223" s="3" t="s">
        <v>60</v>
      </c>
      <c r="B223" s="2">
        <v>71.666666666666671</v>
      </c>
      <c r="C223" s="2">
        <v>75.833333333333314</v>
      </c>
    </row>
    <row r="224" spans="1:3" x14ac:dyDescent="0.3">
      <c r="A224" s="4" t="s">
        <v>151</v>
      </c>
      <c r="B224" s="2">
        <v>71.666666666666671</v>
      </c>
      <c r="C224" s="2">
        <v>75.833333333333314</v>
      </c>
    </row>
    <row r="225" spans="1:3" x14ac:dyDescent="0.3">
      <c r="A225" s="5" t="s">
        <v>159</v>
      </c>
      <c r="B225" s="2">
        <v>71.666666666666671</v>
      </c>
      <c r="C225" s="2">
        <v>75.833333333333314</v>
      </c>
    </row>
    <row r="226" spans="1:3" x14ac:dyDescent="0.3">
      <c r="A226" s="6" t="s">
        <v>170</v>
      </c>
      <c r="B226" s="2">
        <v>71.666666666666671</v>
      </c>
      <c r="C226" s="2">
        <v>75.833333333333314</v>
      </c>
    </row>
    <row r="227" spans="1:3" x14ac:dyDescent="0.3">
      <c r="A227" s="7" t="s">
        <v>166</v>
      </c>
      <c r="B227" s="2">
        <v>71.666666666666671</v>
      </c>
      <c r="C227" s="2">
        <v>75.833333333333314</v>
      </c>
    </row>
    <row r="228" spans="1:3" x14ac:dyDescent="0.3">
      <c r="A228" s="3" t="s">
        <v>61</v>
      </c>
      <c r="B228" s="2">
        <v>68.666666666666671</v>
      </c>
      <c r="C228" s="2">
        <v>75.88235294117645</v>
      </c>
    </row>
    <row r="229" spans="1:3" x14ac:dyDescent="0.3">
      <c r="A229" s="4" t="s">
        <v>150</v>
      </c>
      <c r="B229" s="2">
        <v>68.666666666666671</v>
      </c>
      <c r="C229" s="2">
        <v>75.88235294117645</v>
      </c>
    </row>
    <row r="230" spans="1:3" x14ac:dyDescent="0.3">
      <c r="A230" s="5" t="s">
        <v>159</v>
      </c>
      <c r="B230" s="2">
        <v>68.666666666666671</v>
      </c>
      <c r="C230" s="2">
        <v>75.88235294117645</v>
      </c>
    </row>
    <row r="231" spans="1:3" x14ac:dyDescent="0.3">
      <c r="A231" s="6" t="s">
        <v>169</v>
      </c>
      <c r="B231" s="2">
        <v>68.666666666666671</v>
      </c>
      <c r="C231" s="2">
        <v>75.88235294117645</v>
      </c>
    </row>
    <row r="232" spans="1:3" x14ac:dyDescent="0.3">
      <c r="A232" s="7" t="s">
        <v>166</v>
      </c>
      <c r="B232" s="2">
        <v>68.666666666666671</v>
      </c>
      <c r="C232" s="2">
        <v>75.88235294117645</v>
      </c>
    </row>
    <row r="233" spans="1:3" x14ac:dyDescent="0.3">
      <c r="A233" s="3" t="s">
        <v>62</v>
      </c>
      <c r="B233" s="2">
        <v>82.333333333333343</v>
      </c>
      <c r="C233" s="2">
        <v>75.968253968253947</v>
      </c>
    </row>
    <row r="234" spans="1:3" x14ac:dyDescent="0.3">
      <c r="A234" s="4" t="s">
        <v>152</v>
      </c>
      <c r="B234" s="2">
        <v>82.333333333333343</v>
      </c>
      <c r="C234" s="2">
        <v>75.968253968253947</v>
      </c>
    </row>
    <row r="235" spans="1:3" x14ac:dyDescent="0.3">
      <c r="A235" s="5" t="s">
        <v>158</v>
      </c>
      <c r="B235" s="2">
        <v>82.333333333333343</v>
      </c>
      <c r="C235" s="2">
        <v>75.968253968253947</v>
      </c>
    </row>
    <row r="236" spans="1:3" x14ac:dyDescent="0.3">
      <c r="A236" s="6" t="s">
        <v>168</v>
      </c>
      <c r="B236" s="2">
        <v>82.333333333333343</v>
      </c>
      <c r="C236" s="2">
        <v>75.968253968253947</v>
      </c>
    </row>
    <row r="237" spans="1:3" x14ac:dyDescent="0.3">
      <c r="A237" s="7" t="s">
        <v>166</v>
      </c>
      <c r="B237" s="2">
        <v>82.333333333333343</v>
      </c>
      <c r="C237" s="2">
        <v>75.968253968253947</v>
      </c>
    </row>
    <row r="238" spans="1:3" x14ac:dyDescent="0.3">
      <c r="A238" s="3" t="s">
        <v>63</v>
      </c>
      <c r="B238" s="2">
        <v>86.666666666666671</v>
      </c>
      <c r="C238" s="2">
        <v>75.891566265060234</v>
      </c>
    </row>
    <row r="239" spans="1:3" x14ac:dyDescent="0.3">
      <c r="A239" s="4" t="s">
        <v>149</v>
      </c>
      <c r="B239" s="2">
        <v>86.666666666666671</v>
      </c>
      <c r="C239" s="2">
        <v>75.891566265060234</v>
      </c>
    </row>
    <row r="240" spans="1:3" x14ac:dyDescent="0.3">
      <c r="A240" s="5" t="s">
        <v>159</v>
      </c>
      <c r="B240" s="2">
        <v>86.666666666666671</v>
      </c>
      <c r="C240" s="2">
        <v>75.891566265060234</v>
      </c>
    </row>
    <row r="241" spans="1:3" x14ac:dyDescent="0.3">
      <c r="A241" s="6" t="s">
        <v>168</v>
      </c>
      <c r="B241" s="2">
        <v>86.666666666666671</v>
      </c>
      <c r="C241" s="2">
        <v>75.891566265060234</v>
      </c>
    </row>
    <row r="242" spans="1:3" x14ac:dyDescent="0.3">
      <c r="A242" s="7" t="s">
        <v>166</v>
      </c>
      <c r="B242" s="2">
        <v>86.666666666666671</v>
      </c>
      <c r="C242" s="2">
        <v>75.891566265060234</v>
      </c>
    </row>
    <row r="243" spans="1:3" x14ac:dyDescent="0.3">
      <c r="A243" s="3" t="s">
        <v>64</v>
      </c>
      <c r="B243" s="2">
        <v>95.666666666666671</v>
      </c>
      <c r="C243" s="2">
        <v>75.760162601626007</v>
      </c>
    </row>
    <row r="244" spans="1:3" x14ac:dyDescent="0.3">
      <c r="A244" s="4" t="s">
        <v>148</v>
      </c>
      <c r="B244" s="2">
        <v>95.666666666666671</v>
      </c>
      <c r="C244" s="2">
        <v>75.760162601626007</v>
      </c>
    </row>
    <row r="245" spans="1:3" x14ac:dyDescent="0.3">
      <c r="A245" s="5" t="s">
        <v>159</v>
      </c>
      <c r="B245" s="2">
        <v>95.666666666666671</v>
      </c>
      <c r="C245" s="2">
        <v>75.760162601626007</v>
      </c>
    </row>
    <row r="246" spans="1:3" x14ac:dyDescent="0.3">
      <c r="A246" s="6" t="s">
        <v>171</v>
      </c>
      <c r="B246" s="2">
        <v>95.666666666666671</v>
      </c>
      <c r="C246" s="2">
        <v>75.760162601626007</v>
      </c>
    </row>
    <row r="247" spans="1:3" x14ac:dyDescent="0.3">
      <c r="A247" s="7" t="s">
        <v>166</v>
      </c>
      <c r="B247" s="2">
        <v>95.666666666666671</v>
      </c>
      <c r="C247" s="2">
        <v>75.760162601626007</v>
      </c>
    </row>
    <row r="248" spans="1:3" x14ac:dyDescent="0.3">
      <c r="A248" s="3" t="s">
        <v>65</v>
      </c>
      <c r="B248" s="2">
        <v>76.333333333333329</v>
      </c>
      <c r="C248" s="2">
        <v>75.514403292181058</v>
      </c>
    </row>
    <row r="249" spans="1:3" x14ac:dyDescent="0.3">
      <c r="A249" s="4" t="s">
        <v>151</v>
      </c>
      <c r="B249" s="2">
        <v>76.333333333333329</v>
      </c>
      <c r="C249" s="2">
        <v>75.514403292181058</v>
      </c>
    </row>
    <row r="250" spans="1:3" x14ac:dyDescent="0.3">
      <c r="A250" s="5" t="s">
        <v>158</v>
      </c>
      <c r="B250" s="2">
        <v>76.333333333333329</v>
      </c>
      <c r="C250" s="2">
        <v>75.514403292181058</v>
      </c>
    </row>
    <row r="251" spans="1:3" x14ac:dyDescent="0.3">
      <c r="A251" s="6" t="s">
        <v>170</v>
      </c>
      <c r="B251" s="2">
        <v>76.333333333333329</v>
      </c>
      <c r="C251" s="2">
        <v>75.514403292181058</v>
      </c>
    </row>
    <row r="252" spans="1:3" x14ac:dyDescent="0.3">
      <c r="A252" s="7" t="s">
        <v>166</v>
      </c>
      <c r="B252" s="2">
        <v>76.333333333333329</v>
      </c>
      <c r="C252" s="2">
        <v>75.514403292181058</v>
      </c>
    </row>
    <row r="253" spans="1:3" x14ac:dyDescent="0.3">
      <c r="A253" s="3" t="s">
        <v>66</v>
      </c>
      <c r="B253" s="2">
        <v>75.333333333333329</v>
      </c>
      <c r="C253" s="2">
        <v>75.504166666666649</v>
      </c>
    </row>
    <row r="254" spans="1:3" x14ac:dyDescent="0.3">
      <c r="A254" s="4" t="s">
        <v>152</v>
      </c>
      <c r="B254" s="2">
        <v>75.333333333333329</v>
      </c>
      <c r="C254" s="2">
        <v>75.504166666666649</v>
      </c>
    </row>
    <row r="255" spans="1:3" x14ac:dyDescent="0.3">
      <c r="A255" s="5" t="s">
        <v>159</v>
      </c>
      <c r="B255" s="2">
        <v>75.333333333333329</v>
      </c>
      <c r="C255" s="2">
        <v>75.504166666666649</v>
      </c>
    </row>
    <row r="256" spans="1:3" x14ac:dyDescent="0.3">
      <c r="A256" s="6" t="s">
        <v>170</v>
      </c>
      <c r="B256" s="2">
        <v>75.333333333333329</v>
      </c>
      <c r="C256" s="2">
        <v>75.504166666666649</v>
      </c>
    </row>
    <row r="257" spans="1:3" x14ac:dyDescent="0.3">
      <c r="A257" s="7" t="s">
        <v>166</v>
      </c>
      <c r="B257" s="2">
        <v>75.333333333333329</v>
      </c>
      <c r="C257" s="2">
        <v>75.504166666666649</v>
      </c>
    </row>
    <row r="258" spans="1:3" x14ac:dyDescent="0.3">
      <c r="A258" s="3" t="s">
        <v>67</v>
      </c>
      <c r="B258" s="2">
        <v>73.333333333333329</v>
      </c>
      <c r="C258" s="2">
        <v>75.506329113924025</v>
      </c>
    </row>
    <row r="259" spans="1:3" x14ac:dyDescent="0.3">
      <c r="A259" s="4" t="s">
        <v>149</v>
      </c>
      <c r="B259" s="2">
        <v>73.333333333333329</v>
      </c>
      <c r="C259" s="2">
        <v>75.506329113924025</v>
      </c>
    </row>
    <row r="260" spans="1:3" x14ac:dyDescent="0.3">
      <c r="A260" s="5" t="s">
        <v>158</v>
      </c>
      <c r="B260" s="2">
        <v>73.333333333333329</v>
      </c>
      <c r="C260" s="2">
        <v>75.506329113924025</v>
      </c>
    </row>
    <row r="261" spans="1:3" x14ac:dyDescent="0.3">
      <c r="A261" s="6" t="s">
        <v>170</v>
      </c>
      <c r="B261" s="2">
        <v>73.333333333333329</v>
      </c>
      <c r="C261" s="2">
        <v>75.506329113924025</v>
      </c>
    </row>
    <row r="262" spans="1:3" x14ac:dyDescent="0.3">
      <c r="A262" s="7" t="s">
        <v>166</v>
      </c>
      <c r="B262" s="2">
        <v>73.333333333333329</v>
      </c>
      <c r="C262" s="2">
        <v>75.506329113924025</v>
      </c>
    </row>
    <row r="263" spans="1:3" x14ac:dyDescent="0.3">
      <c r="A263" s="3" t="s">
        <v>68</v>
      </c>
      <c r="B263" s="2">
        <v>78.333333333333329</v>
      </c>
      <c r="C263" s="2">
        <v>75.53418803418802</v>
      </c>
    </row>
    <row r="264" spans="1:3" x14ac:dyDescent="0.3">
      <c r="A264" s="4" t="s">
        <v>150</v>
      </c>
      <c r="B264" s="2">
        <v>78.333333333333329</v>
      </c>
      <c r="C264" s="2">
        <v>75.53418803418802</v>
      </c>
    </row>
    <row r="265" spans="1:3" x14ac:dyDescent="0.3">
      <c r="A265" s="5" t="s">
        <v>159</v>
      </c>
      <c r="B265" s="2">
        <v>78.333333333333329</v>
      </c>
      <c r="C265" s="2">
        <v>75.53418803418802</v>
      </c>
    </row>
    <row r="266" spans="1:3" x14ac:dyDescent="0.3">
      <c r="A266" s="6" t="s">
        <v>170</v>
      </c>
      <c r="B266" s="2">
        <v>78.333333333333329</v>
      </c>
      <c r="C266" s="2">
        <v>75.53418803418802</v>
      </c>
    </row>
    <row r="267" spans="1:3" x14ac:dyDescent="0.3">
      <c r="A267" s="7" t="s">
        <v>166</v>
      </c>
      <c r="B267" s="2">
        <v>78.333333333333329</v>
      </c>
      <c r="C267" s="2">
        <v>75.53418803418802</v>
      </c>
    </row>
    <row r="268" spans="1:3" x14ac:dyDescent="0.3">
      <c r="A268" s="3" t="s">
        <v>69</v>
      </c>
      <c r="B268" s="2">
        <v>82.666666666666671</v>
      </c>
      <c r="C268" s="2">
        <v>75.497835497835482</v>
      </c>
    </row>
    <row r="269" spans="1:3" x14ac:dyDescent="0.3">
      <c r="A269" s="4" t="s">
        <v>148</v>
      </c>
      <c r="B269" s="2">
        <v>82.666666666666671</v>
      </c>
      <c r="C269" s="2">
        <v>75.497835497835482</v>
      </c>
    </row>
    <row r="270" spans="1:3" x14ac:dyDescent="0.3">
      <c r="A270" s="5" t="s">
        <v>158</v>
      </c>
      <c r="B270" s="2">
        <v>82.666666666666671</v>
      </c>
      <c r="C270" s="2">
        <v>75.497835497835482</v>
      </c>
    </row>
    <row r="271" spans="1:3" x14ac:dyDescent="0.3">
      <c r="A271" s="6" t="s">
        <v>168</v>
      </c>
      <c r="B271" s="2">
        <v>82.666666666666671</v>
      </c>
      <c r="C271" s="2">
        <v>75.497835497835482</v>
      </c>
    </row>
    <row r="272" spans="1:3" x14ac:dyDescent="0.3">
      <c r="A272" s="7" t="s">
        <v>166</v>
      </c>
      <c r="B272" s="2">
        <v>82.666666666666671</v>
      </c>
      <c r="C272" s="2">
        <v>75.497835497835482</v>
      </c>
    </row>
    <row r="273" spans="1:3" x14ac:dyDescent="0.3">
      <c r="A273" s="3" t="s">
        <v>70</v>
      </c>
      <c r="B273" s="2">
        <v>76.666666666666671</v>
      </c>
      <c r="C273" s="2">
        <v>75.403508771929808</v>
      </c>
    </row>
    <row r="274" spans="1:3" x14ac:dyDescent="0.3">
      <c r="A274" s="4" t="s">
        <v>152</v>
      </c>
      <c r="B274" s="2">
        <v>76.666666666666671</v>
      </c>
      <c r="C274" s="2">
        <v>75.403508771929808</v>
      </c>
    </row>
    <row r="275" spans="1:3" x14ac:dyDescent="0.3">
      <c r="A275" s="5" t="s">
        <v>159</v>
      </c>
      <c r="B275" s="2">
        <v>76.666666666666671</v>
      </c>
      <c r="C275" s="2">
        <v>75.403508771929808</v>
      </c>
    </row>
    <row r="276" spans="1:3" x14ac:dyDescent="0.3">
      <c r="A276" s="6" t="s">
        <v>170</v>
      </c>
      <c r="B276" s="2">
        <v>76.666666666666671</v>
      </c>
      <c r="C276" s="2">
        <v>75.403508771929808</v>
      </c>
    </row>
    <row r="277" spans="1:3" x14ac:dyDescent="0.3">
      <c r="A277" s="7" t="s">
        <v>166</v>
      </c>
      <c r="B277" s="2">
        <v>76.666666666666671</v>
      </c>
      <c r="C277" s="2">
        <v>75.403508771929808</v>
      </c>
    </row>
    <row r="278" spans="1:3" x14ac:dyDescent="0.3">
      <c r="A278" s="3" t="s">
        <v>71</v>
      </c>
      <c r="B278" s="2">
        <v>70.333333333333343</v>
      </c>
      <c r="C278" s="2">
        <v>75.386666666666642</v>
      </c>
    </row>
    <row r="279" spans="1:3" x14ac:dyDescent="0.3">
      <c r="A279" s="4" t="s">
        <v>151</v>
      </c>
      <c r="B279" s="2">
        <v>70.333333333333343</v>
      </c>
      <c r="C279" s="2">
        <v>75.386666666666642</v>
      </c>
    </row>
    <row r="280" spans="1:3" x14ac:dyDescent="0.3">
      <c r="A280" s="5" t="s">
        <v>158</v>
      </c>
      <c r="B280" s="2">
        <v>70.333333333333343</v>
      </c>
      <c r="C280" s="2">
        <v>75.386666666666642</v>
      </c>
    </row>
    <row r="281" spans="1:3" x14ac:dyDescent="0.3">
      <c r="A281" s="6" t="s">
        <v>170</v>
      </c>
      <c r="B281" s="2">
        <v>70.333333333333343</v>
      </c>
      <c r="C281" s="2">
        <v>75.386666666666642</v>
      </c>
    </row>
    <row r="282" spans="1:3" x14ac:dyDescent="0.3">
      <c r="A282" s="7" t="s">
        <v>166</v>
      </c>
      <c r="B282" s="2">
        <v>70.333333333333343</v>
      </c>
      <c r="C282" s="2">
        <v>75.386666666666642</v>
      </c>
    </row>
    <row r="283" spans="1:3" x14ac:dyDescent="0.3">
      <c r="A283" s="3" t="s">
        <v>72</v>
      </c>
      <c r="B283" s="2">
        <v>74.666666666666671</v>
      </c>
      <c r="C283" s="2">
        <v>75.454954954954928</v>
      </c>
    </row>
    <row r="284" spans="1:3" x14ac:dyDescent="0.3">
      <c r="A284" s="4" t="s">
        <v>152</v>
      </c>
      <c r="B284" s="2">
        <v>74.666666666666671</v>
      </c>
      <c r="C284" s="2">
        <v>75.454954954954928</v>
      </c>
    </row>
    <row r="285" spans="1:3" x14ac:dyDescent="0.3">
      <c r="A285" s="5" t="s">
        <v>159</v>
      </c>
      <c r="B285" s="2">
        <v>74.666666666666671</v>
      </c>
      <c r="C285" s="2">
        <v>75.454954954954928</v>
      </c>
    </row>
    <row r="286" spans="1:3" x14ac:dyDescent="0.3">
      <c r="A286" s="6" t="s">
        <v>170</v>
      </c>
      <c r="B286" s="2">
        <v>74.666666666666671</v>
      </c>
      <c r="C286" s="2">
        <v>75.454954954954928</v>
      </c>
    </row>
    <row r="287" spans="1:3" x14ac:dyDescent="0.3">
      <c r="A287" s="7" t="s">
        <v>166</v>
      </c>
      <c r="B287" s="2">
        <v>74.666666666666671</v>
      </c>
      <c r="C287" s="2">
        <v>75.454954954954928</v>
      </c>
    </row>
    <row r="288" spans="1:3" x14ac:dyDescent="0.3">
      <c r="A288" s="3" t="s">
        <v>73</v>
      </c>
      <c r="B288" s="2">
        <v>73</v>
      </c>
      <c r="C288" s="2">
        <v>75.465753424657507</v>
      </c>
    </row>
    <row r="289" spans="1:3" x14ac:dyDescent="0.3">
      <c r="A289" s="4" t="s">
        <v>149</v>
      </c>
      <c r="B289" s="2">
        <v>73</v>
      </c>
      <c r="C289" s="2">
        <v>75.465753424657507</v>
      </c>
    </row>
    <row r="290" spans="1:3" x14ac:dyDescent="0.3">
      <c r="A290" s="5" t="s">
        <v>158</v>
      </c>
      <c r="B290" s="2">
        <v>73</v>
      </c>
      <c r="C290" s="2">
        <v>75.465753424657507</v>
      </c>
    </row>
    <row r="291" spans="1:3" x14ac:dyDescent="0.3">
      <c r="A291" s="6" t="s">
        <v>170</v>
      </c>
      <c r="B291" s="2">
        <v>73</v>
      </c>
      <c r="C291" s="2">
        <v>75.465753424657507</v>
      </c>
    </row>
    <row r="292" spans="1:3" x14ac:dyDescent="0.3">
      <c r="A292" s="7" t="s">
        <v>166</v>
      </c>
      <c r="B292" s="2">
        <v>73</v>
      </c>
      <c r="C292" s="2">
        <v>75.465753424657507</v>
      </c>
    </row>
    <row r="293" spans="1:3" x14ac:dyDescent="0.3">
      <c r="A293" s="3" t="s">
        <v>74</v>
      </c>
      <c r="B293" s="2">
        <v>83.333333333333343</v>
      </c>
      <c r="C293" s="2">
        <v>75.499999999999972</v>
      </c>
    </row>
    <row r="294" spans="1:3" x14ac:dyDescent="0.3">
      <c r="A294" s="4" t="s">
        <v>148</v>
      </c>
      <c r="B294" s="2">
        <v>83.333333333333343</v>
      </c>
      <c r="C294" s="2">
        <v>75.499999999999972</v>
      </c>
    </row>
    <row r="295" spans="1:3" x14ac:dyDescent="0.3">
      <c r="A295" s="5" t="s">
        <v>159</v>
      </c>
      <c r="B295" s="2">
        <v>83.333333333333343</v>
      </c>
      <c r="C295" s="2">
        <v>75.499999999999972</v>
      </c>
    </row>
    <row r="296" spans="1:3" x14ac:dyDescent="0.3">
      <c r="A296" s="6" t="s">
        <v>168</v>
      </c>
      <c r="B296" s="2">
        <v>83.333333333333343</v>
      </c>
      <c r="C296" s="2">
        <v>75.499999999999972</v>
      </c>
    </row>
    <row r="297" spans="1:3" x14ac:dyDescent="0.3">
      <c r="A297" s="7" t="s">
        <v>166</v>
      </c>
      <c r="B297" s="2">
        <v>83.333333333333343</v>
      </c>
      <c r="C297" s="2">
        <v>75.499999999999972</v>
      </c>
    </row>
    <row r="298" spans="1:3" x14ac:dyDescent="0.3">
      <c r="A298" s="3" t="s">
        <v>75</v>
      </c>
      <c r="B298" s="2">
        <v>81</v>
      </c>
      <c r="C298" s="2">
        <v>75.389671361502309</v>
      </c>
    </row>
    <row r="299" spans="1:3" x14ac:dyDescent="0.3">
      <c r="A299" s="4" t="s">
        <v>150</v>
      </c>
      <c r="B299" s="2">
        <v>81</v>
      </c>
      <c r="C299" s="2">
        <v>75.389671361502309</v>
      </c>
    </row>
    <row r="300" spans="1:3" x14ac:dyDescent="0.3">
      <c r="A300" s="5" t="s">
        <v>158</v>
      </c>
      <c r="B300" s="2">
        <v>81</v>
      </c>
      <c r="C300" s="2">
        <v>75.389671361502309</v>
      </c>
    </row>
    <row r="301" spans="1:3" x14ac:dyDescent="0.3">
      <c r="A301" s="6" t="s">
        <v>168</v>
      </c>
      <c r="B301" s="2">
        <v>81</v>
      </c>
      <c r="C301" s="2">
        <v>75.389671361502309</v>
      </c>
    </row>
    <row r="302" spans="1:3" x14ac:dyDescent="0.3">
      <c r="A302" s="7" t="s">
        <v>166</v>
      </c>
      <c r="B302" s="2">
        <v>81</v>
      </c>
      <c r="C302" s="2">
        <v>75.389671361502309</v>
      </c>
    </row>
    <row r="303" spans="1:3" x14ac:dyDescent="0.3">
      <c r="A303" s="3" t="s">
        <v>76</v>
      </c>
      <c r="B303" s="2">
        <v>79</v>
      </c>
      <c r="C303" s="2">
        <v>75.309523809523782</v>
      </c>
    </row>
    <row r="304" spans="1:3" x14ac:dyDescent="0.3">
      <c r="A304" s="4" t="s">
        <v>152</v>
      </c>
      <c r="B304" s="2">
        <v>79</v>
      </c>
      <c r="C304" s="2">
        <v>75.309523809523782</v>
      </c>
    </row>
    <row r="305" spans="1:3" x14ac:dyDescent="0.3">
      <c r="A305" s="5" t="s">
        <v>158</v>
      </c>
      <c r="B305" s="2">
        <v>79</v>
      </c>
      <c r="C305" s="2">
        <v>75.309523809523782</v>
      </c>
    </row>
    <row r="306" spans="1:3" x14ac:dyDescent="0.3">
      <c r="A306" s="6" t="s">
        <v>170</v>
      </c>
      <c r="B306" s="2">
        <v>79</v>
      </c>
      <c r="C306" s="2">
        <v>75.309523809523782</v>
      </c>
    </row>
    <row r="307" spans="1:3" x14ac:dyDescent="0.3">
      <c r="A307" s="7" t="s">
        <v>166</v>
      </c>
      <c r="B307" s="2">
        <v>79</v>
      </c>
      <c r="C307" s="2">
        <v>75.309523809523782</v>
      </c>
    </row>
    <row r="308" spans="1:3" x14ac:dyDescent="0.3">
      <c r="A308" s="3" t="s">
        <v>77</v>
      </c>
      <c r="B308" s="2">
        <v>70.333333333333343</v>
      </c>
      <c r="C308" s="2">
        <v>75.256038647342962</v>
      </c>
    </row>
    <row r="309" spans="1:3" x14ac:dyDescent="0.3">
      <c r="A309" s="4" t="s">
        <v>151</v>
      </c>
      <c r="B309" s="2">
        <v>70.333333333333343</v>
      </c>
      <c r="C309" s="2">
        <v>75.256038647342962</v>
      </c>
    </row>
    <row r="310" spans="1:3" x14ac:dyDescent="0.3">
      <c r="A310" s="5" t="s">
        <v>158</v>
      </c>
      <c r="B310" s="2">
        <v>70.333333333333343</v>
      </c>
      <c r="C310" s="2">
        <v>75.256038647342962</v>
      </c>
    </row>
    <row r="311" spans="1:3" x14ac:dyDescent="0.3">
      <c r="A311" s="6" t="s">
        <v>170</v>
      </c>
      <c r="B311" s="2">
        <v>70.333333333333343</v>
      </c>
      <c r="C311" s="2">
        <v>75.256038647342962</v>
      </c>
    </row>
    <row r="312" spans="1:3" x14ac:dyDescent="0.3">
      <c r="A312" s="7" t="s">
        <v>166</v>
      </c>
      <c r="B312" s="2">
        <v>70.333333333333343</v>
      </c>
      <c r="C312" s="2">
        <v>75.256038647342962</v>
      </c>
    </row>
    <row r="313" spans="1:3" x14ac:dyDescent="0.3">
      <c r="A313" s="3" t="s">
        <v>78</v>
      </c>
      <c r="B313" s="2">
        <v>79</v>
      </c>
      <c r="C313" s="2">
        <v>75.328431372548991</v>
      </c>
    </row>
    <row r="314" spans="1:3" x14ac:dyDescent="0.3">
      <c r="A314" s="4" t="s">
        <v>150</v>
      </c>
      <c r="B314" s="2">
        <v>79</v>
      </c>
      <c r="C314" s="2">
        <v>75.328431372548991</v>
      </c>
    </row>
    <row r="315" spans="1:3" x14ac:dyDescent="0.3">
      <c r="A315" s="5" t="s">
        <v>158</v>
      </c>
      <c r="B315" s="2">
        <v>79</v>
      </c>
      <c r="C315" s="2">
        <v>75.328431372548991</v>
      </c>
    </row>
    <row r="316" spans="1:3" x14ac:dyDescent="0.3">
      <c r="A316" s="6" t="s">
        <v>170</v>
      </c>
      <c r="B316" s="2">
        <v>79</v>
      </c>
      <c r="C316" s="2">
        <v>75.328431372548991</v>
      </c>
    </row>
    <row r="317" spans="1:3" x14ac:dyDescent="0.3">
      <c r="A317" s="7" t="s">
        <v>166</v>
      </c>
      <c r="B317" s="2">
        <v>79</v>
      </c>
      <c r="C317" s="2">
        <v>75.328431372548991</v>
      </c>
    </row>
    <row r="318" spans="1:3" x14ac:dyDescent="0.3">
      <c r="A318" s="3" t="s">
        <v>79</v>
      </c>
      <c r="B318" s="2">
        <v>71.666666666666671</v>
      </c>
      <c r="C318" s="2">
        <v>75.273631840796</v>
      </c>
    </row>
    <row r="319" spans="1:3" x14ac:dyDescent="0.3">
      <c r="A319" s="4" t="s">
        <v>148</v>
      </c>
      <c r="B319" s="2">
        <v>71.666666666666671</v>
      </c>
      <c r="C319" s="2">
        <v>75.273631840796</v>
      </c>
    </row>
    <row r="320" spans="1:3" x14ac:dyDescent="0.3">
      <c r="A320" s="5" t="s">
        <v>159</v>
      </c>
      <c r="B320" s="2">
        <v>71.666666666666671</v>
      </c>
      <c r="C320" s="2">
        <v>75.273631840796</v>
      </c>
    </row>
    <row r="321" spans="1:3" x14ac:dyDescent="0.3">
      <c r="A321" s="6" t="s">
        <v>170</v>
      </c>
      <c r="B321" s="2">
        <v>71.666666666666671</v>
      </c>
      <c r="C321" s="2">
        <v>75.273631840796</v>
      </c>
    </row>
    <row r="322" spans="1:3" x14ac:dyDescent="0.3">
      <c r="A322" s="7" t="s">
        <v>166</v>
      </c>
      <c r="B322" s="2">
        <v>71.666666666666671</v>
      </c>
      <c r="C322" s="2">
        <v>75.273631840796</v>
      </c>
    </row>
    <row r="323" spans="1:3" x14ac:dyDescent="0.3">
      <c r="A323" s="3" t="s">
        <v>80</v>
      </c>
      <c r="B323" s="2">
        <v>82.333333333333343</v>
      </c>
      <c r="C323" s="2">
        <v>75.328282828282823</v>
      </c>
    </row>
    <row r="324" spans="1:3" x14ac:dyDescent="0.3">
      <c r="A324" s="4" t="s">
        <v>152</v>
      </c>
      <c r="B324" s="2">
        <v>82.333333333333343</v>
      </c>
      <c r="C324" s="2">
        <v>75.328282828282823</v>
      </c>
    </row>
    <row r="325" spans="1:3" x14ac:dyDescent="0.3">
      <c r="A325" s="5" t="s">
        <v>159</v>
      </c>
      <c r="B325" s="2">
        <v>82.333333333333343</v>
      </c>
      <c r="C325" s="2">
        <v>75.328282828282823</v>
      </c>
    </row>
    <row r="326" spans="1:3" x14ac:dyDescent="0.3">
      <c r="A326" s="6" t="s">
        <v>168</v>
      </c>
      <c r="B326" s="2">
        <v>82.333333333333343</v>
      </c>
      <c r="C326" s="2">
        <v>75.328282828282823</v>
      </c>
    </row>
    <row r="327" spans="1:3" x14ac:dyDescent="0.3">
      <c r="A327" s="7" t="s">
        <v>166</v>
      </c>
      <c r="B327" s="2">
        <v>82.333333333333343</v>
      </c>
      <c r="C327" s="2">
        <v>75.328282828282823</v>
      </c>
    </row>
    <row r="328" spans="1:3" x14ac:dyDescent="0.3">
      <c r="A328" s="3" t="s">
        <v>81</v>
      </c>
      <c r="B328" s="2">
        <v>70.333333333333343</v>
      </c>
      <c r="C328" s="2">
        <v>75.220512820512795</v>
      </c>
    </row>
    <row r="329" spans="1:3" x14ac:dyDescent="0.3">
      <c r="A329" s="4" t="s">
        <v>151</v>
      </c>
      <c r="B329" s="2">
        <v>70.333333333333343</v>
      </c>
      <c r="C329" s="2">
        <v>75.220512820512795</v>
      </c>
    </row>
    <row r="330" spans="1:3" x14ac:dyDescent="0.3">
      <c r="A330" s="5" t="s">
        <v>158</v>
      </c>
      <c r="B330" s="2">
        <v>70.333333333333343</v>
      </c>
      <c r="C330" s="2">
        <v>75.220512820512795</v>
      </c>
    </row>
    <row r="331" spans="1:3" x14ac:dyDescent="0.3">
      <c r="A331" s="6" t="s">
        <v>170</v>
      </c>
      <c r="B331" s="2">
        <v>70.333333333333343</v>
      </c>
      <c r="C331" s="2">
        <v>75.220512820512795</v>
      </c>
    </row>
    <row r="332" spans="1:3" x14ac:dyDescent="0.3">
      <c r="A332" s="7" t="s">
        <v>166</v>
      </c>
      <c r="B332" s="2">
        <v>70.333333333333343</v>
      </c>
      <c r="C332" s="2">
        <v>75.220512820512795</v>
      </c>
    </row>
    <row r="333" spans="1:3" x14ac:dyDescent="0.3">
      <c r="A333" s="3" t="s">
        <v>82</v>
      </c>
      <c r="B333" s="2">
        <v>68</v>
      </c>
      <c r="C333" s="2">
        <v>75.296874999999986</v>
      </c>
    </row>
    <row r="334" spans="1:3" x14ac:dyDescent="0.3">
      <c r="A334" s="4" t="s">
        <v>149</v>
      </c>
      <c r="B334" s="2">
        <v>68</v>
      </c>
      <c r="C334" s="2">
        <v>75.296874999999986</v>
      </c>
    </row>
    <row r="335" spans="1:3" x14ac:dyDescent="0.3">
      <c r="A335" s="5" t="s">
        <v>158</v>
      </c>
      <c r="B335" s="2">
        <v>68</v>
      </c>
      <c r="C335" s="2">
        <v>75.296874999999986</v>
      </c>
    </row>
    <row r="336" spans="1:3" x14ac:dyDescent="0.3">
      <c r="A336" s="6" t="s">
        <v>169</v>
      </c>
      <c r="B336" s="2">
        <v>68</v>
      </c>
      <c r="C336" s="2">
        <v>75.296874999999986</v>
      </c>
    </row>
    <row r="337" spans="1:3" x14ac:dyDescent="0.3">
      <c r="A337" s="7" t="s">
        <v>166</v>
      </c>
      <c r="B337" s="2">
        <v>68</v>
      </c>
      <c r="C337" s="2">
        <v>75.296874999999986</v>
      </c>
    </row>
    <row r="338" spans="1:3" x14ac:dyDescent="0.3">
      <c r="A338" s="3" t="s">
        <v>83</v>
      </c>
      <c r="B338" s="2">
        <v>76.333333333333329</v>
      </c>
      <c r="C338" s="2">
        <v>75.412698412698404</v>
      </c>
    </row>
    <row r="339" spans="1:3" x14ac:dyDescent="0.3">
      <c r="A339" s="4" t="s">
        <v>148</v>
      </c>
      <c r="B339" s="2">
        <v>76.333333333333329</v>
      </c>
      <c r="C339" s="2">
        <v>75.412698412698404</v>
      </c>
    </row>
    <row r="340" spans="1:3" x14ac:dyDescent="0.3">
      <c r="A340" s="5" t="s">
        <v>159</v>
      </c>
      <c r="B340" s="2">
        <v>76.333333333333329</v>
      </c>
      <c r="C340" s="2">
        <v>75.412698412698404</v>
      </c>
    </row>
    <row r="341" spans="1:3" x14ac:dyDescent="0.3">
      <c r="A341" s="6" t="s">
        <v>170</v>
      </c>
      <c r="B341" s="2">
        <v>76.333333333333329</v>
      </c>
      <c r="C341" s="2">
        <v>75.412698412698404</v>
      </c>
    </row>
    <row r="342" spans="1:3" x14ac:dyDescent="0.3">
      <c r="A342" s="7" t="s">
        <v>166</v>
      </c>
      <c r="B342" s="2">
        <v>76.333333333333329</v>
      </c>
      <c r="C342" s="2">
        <v>75.412698412698404</v>
      </c>
    </row>
    <row r="343" spans="1:3" x14ac:dyDescent="0.3">
      <c r="A343" s="3" t="s">
        <v>84</v>
      </c>
      <c r="B343" s="2">
        <v>86</v>
      </c>
      <c r="C343" s="2">
        <v>75.397849462365585</v>
      </c>
    </row>
    <row r="344" spans="1:3" x14ac:dyDescent="0.3">
      <c r="A344" s="4" t="s">
        <v>152</v>
      </c>
      <c r="B344" s="2">
        <v>86</v>
      </c>
      <c r="C344" s="2">
        <v>75.397849462365585</v>
      </c>
    </row>
    <row r="345" spans="1:3" x14ac:dyDescent="0.3">
      <c r="A345" s="5" t="s">
        <v>158</v>
      </c>
      <c r="B345" s="2">
        <v>86</v>
      </c>
      <c r="C345" s="2">
        <v>75.397849462365585</v>
      </c>
    </row>
    <row r="346" spans="1:3" x14ac:dyDescent="0.3">
      <c r="A346" s="6" t="s">
        <v>168</v>
      </c>
      <c r="B346" s="2">
        <v>86</v>
      </c>
      <c r="C346" s="2">
        <v>75.397849462365585</v>
      </c>
    </row>
    <row r="347" spans="1:3" x14ac:dyDescent="0.3">
      <c r="A347" s="7" t="s">
        <v>166</v>
      </c>
      <c r="B347" s="2">
        <v>86</v>
      </c>
      <c r="C347" s="2">
        <v>75.397849462365585</v>
      </c>
    </row>
    <row r="348" spans="1:3" x14ac:dyDescent="0.3">
      <c r="A348" s="3" t="s">
        <v>85</v>
      </c>
      <c r="B348" s="2">
        <v>84.333333333333343</v>
      </c>
      <c r="C348" s="2">
        <v>75.224043715846989</v>
      </c>
    </row>
    <row r="349" spans="1:3" x14ac:dyDescent="0.3">
      <c r="A349" s="4" t="s">
        <v>150</v>
      </c>
      <c r="B349" s="2">
        <v>84.333333333333343</v>
      </c>
      <c r="C349" s="2">
        <v>75.224043715846989</v>
      </c>
    </row>
    <row r="350" spans="1:3" x14ac:dyDescent="0.3">
      <c r="A350" s="5" t="s">
        <v>158</v>
      </c>
      <c r="B350" s="2">
        <v>84.333333333333343</v>
      </c>
      <c r="C350" s="2">
        <v>75.224043715846989</v>
      </c>
    </row>
    <row r="351" spans="1:3" x14ac:dyDescent="0.3">
      <c r="A351" s="6" t="s">
        <v>168</v>
      </c>
      <c r="B351" s="2">
        <v>84.333333333333343</v>
      </c>
      <c r="C351" s="2">
        <v>75.224043715846989</v>
      </c>
    </row>
    <row r="352" spans="1:3" x14ac:dyDescent="0.3">
      <c r="A352" s="7" t="s">
        <v>166</v>
      </c>
      <c r="B352" s="2">
        <v>84.333333333333343</v>
      </c>
      <c r="C352" s="2">
        <v>75.224043715846989</v>
      </c>
    </row>
    <row r="353" spans="1:3" x14ac:dyDescent="0.3">
      <c r="A353" s="3" t="s">
        <v>86</v>
      </c>
      <c r="B353" s="2">
        <v>70.666666666666671</v>
      </c>
      <c r="C353" s="2">
        <v>75.072222222222223</v>
      </c>
    </row>
    <row r="354" spans="1:3" x14ac:dyDescent="0.3">
      <c r="A354" s="4" t="s">
        <v>151</v>
      </c>
      <c r="B354" s="2">
        <v>70.666666666666671</v>
      </c>
      <c r="C354" s="2">
        <v>75.072222222222223</v>
      </c>
    </row>
    <row r="355" spans="1:3" x14ac:dyDescent="0.3">
      <c r="A355" s="5" t="s">
        <v>158</v>
      </c>
      <c r="B355" s="2">
        <v>70.666666666666671</v>
      </c>
      <c r="C355" s="2">
        <v>75.072222222222223</v>
      </c>
    </row>
    <row r="356" spans="1:3" x14ac:dyDescent="0.3">
      <c r="A356" s="6" t="s">
        <v>170</v>
      </c>
      <c r="B356" s="2">
        <v>70.666666666666671</v>
      </c>
      <c r="C356" s="2">
        <v>75.072222222222223</v>
      </c>
    </row>
    <row r="357" spans="1:3" x14ac:dyDescent="0.3">
      <c r="A357" s="7" t="s">
        <v>166</v>
      </c>
      <c r="B357" s="2">
        <v>70.666666666666671</v>
      </c>
      <c r="C357" s="2">
        <v>75.072222222222223</v>
      </c>
    </row>
    <row r="358" spans="1:3" x14ac:dyDescent="0.3">
      <c r="A358" s="3" t="s">
        <v>87</v>
      </c>
      <c r="B358" s="2">
        <v>72.666666666666671</v>
      </c>
      <c r="C358" s="2">
        <v>75.146892655367239</v>
      </c>
    </row>
    <row r="359" spans="1:3" x14ac:dyDescent="0.3">
      <c r="A359" s="4" t="s">
        <v>148</v>
      </c>
      <c r="B359" s="2">
        <v>72.666666666666671</v>
      </c>
      <c r="C359" s="2">
        <v>75.146892655367239</v>
      </c>
    </row>
    <row r="360" spans="1:3" x14ac:dyDescent="0.3">
      <c r="A360" s="5" t="s">
        <v>159</v>
      </c>
      <c r="B360" s="2">
        <v>72.666666666666671</v>
      </c>
      <c r="C360" s="2">
        <v>75.146892655367239</v>
      </c>
    </row>
    <row r="361" spans="1:3" x14ac:dyDescent="0.3">
      <c r="A361" s="6" t="s">
        <v>170</v>
      </c>
      <c r="B361" s="2">
        <v>72.666666666666671</v>
      </c>
      <c r="C361" s="2">
        <v>75.146892655367239</v>
      </c>
    </row>
    <row r="362" spans="1:3" x14ac:dyDescent="0.3">
      <c r="A362" s="7" t="s">
        <v>166</v>
      </c>
      <c r="B362" s="2">
        <v>72.666666666666671</v>
      </c>
      <c r="C362" s="2">
        <v>75.146892655367239</v>
      </c>
    </row>
    <row r="363" spans="1:3" x14ac:dyDescent="0.3">
      <c r="A363" s="3" t="s">
        <v>88</v>
      </c>
      <c r="B363" s="2">
        <v>81.666666666666671</v>
      </c>
      <c r="C363" s="2">
        <v>75.189655172413794</v>
      </c>
    </row>
    <row r="364" spans="1:3" x14ac:dyDescent="0.3">
      <c r="A364" s="4" t="s">
        <v>149</v>
      </c>
      <c r="B364" s="2">
        <v>81.666666666666671</v>
      </c>
      <c r="C364" s="2">
        <v>75.189655172413794</v>
      </c>
    </row>
    <row r="365" spans="1:3" x14ac:dyDescent="0.3">
      <c r="A365" s="5" t="s">
        <v>159</v>
      </c>
      <c r="B365" s="2">
        <v>81.666666666666671</v>
      </c>
      <c r="C365" s="2">
        <v>75.189655172413794</v>
      </c>
    </row>
    <row r="366" spans="1:3" x14ac:dyDescent="0.3">
      <c r="A366" s="6" t="s">
        <v>168</v>
      </c>
      <c r="B366" s="2">
        <v>81.666666666666671</v>
      </c>
      <c r="C366" s="2">
        <v>75.189655172413794</v>
      </c>
    </row>
    <row r="367" spans="1:3" x14ac:dyDescent="0.3">
      <c r="A367" s="7" t="s">
        <v>166</v>
      </c>
      <c r="B367" s="2">
        <v>81.666666666666671</v>
      </c>
      <c r="C367" s="2">
        <v>75.189655172413794</v>
      </c>
    </row>
    <row r="368" spans="1:3" x14ac:dyDescent="0.3">
      <c r="A368" s="3" t="s">
        <v>89</v>
      </c>
      <c r="B368" s="2">
        <v>84.333333333333343</v>
      </c>
      <c r="C368" s="2">
        <v>75.076023391812853</v>
      </c>
    </row>
    <row r="369" spans="1:3" x14ac:dyDescent="0.3">
      <c r="A369" s="4" t="s">
        <v>150</v>
      </c>
      <c r="B369" s="2">
        <v>84.333333333333343</v>
      </c>
      <c r="C369" s="2">
        <v>75.076023391812853</v>
      </c>
    </row>
    <row r="370" spans="1:3" x14ac:dyDescent="0.3">
      <c r="A370" s="5" t="s">
        <v>159</v>
      </c>
      <c r="B370" s="2">
        <v>84.333333333333343</v>
      </c>
      <c r="C370" s="2">
        <v>75.076023391812853</v>
      </c>
    </row>
    <row r="371" spans="1:3" x14ac:dyDescent="0.3">
      <c r="A371" s="6" t="s">
        <v>168</v>
      </c>
      <c r="B371" s="2">
        <v>84.333333333333343</v>
      </c>
      <c r="C371" s="2">
        <v>75.076023391812853</v>
      </c>
    </row>
    <row r="372" spans="1:3" x14ac:dyDescent="0.3">
      <c r="A372" s="7" t="s">
        <v>166</v>
      </c>
      <c r="B372" s="2">
        <v>84.333333333333343</v>
      </c>
      <c r="C372" s="2">
        <v>75.076023391812853</v>
      </c>
    </row>
    <row r="373" spans="1:3" x14ac:dyDescent="0.3">
      <c r="A373" s="3" t="s">
        <v>90</v>
      </c>
      <c r="B373" s="2">
        <v>67.666666666666657</v>
      </c>
      <c r="C373" s="2">
        <v>74.910714285714306</v>
      </c>
    </row>
    <row r="374" spans="1:3" x14ac:dyDescent="0.3">
      <c r="A374" s="4" t="s">
        <v>149</v>
      </c>
      <c r="B374" s="2">
        <v>67.666666666666657</v>
      </c>
      <c r="C374" s="2">
        <v>74.910714285714306</v>
      </c>
    </row>
    <row r="375" spans="1:3" x14ac:dyDescent="0.3">
      <c r="A375" s="5" t="s">
        <v>158</v>
      </c>
      <c r="B375" s="2">
        <v>67.666666666666657</v>
      </c>
      <c r="C375" s="2">
        <v>74.910714285714306</v>
      </c>
    </row>
    <row r="376" spans="1:3" x14ac:dyDescent="0.3">
      <c r="A376" s="6" t="s">
        <v>169</v>
      </c>
      <c r="B376" s="2">
        <v>67.666666666666657</v>
      </c>
      <c r="C376" s="2">
        <v>74.910714285714306</v>
      </c>
    </row>
    <row r="377" spans="1:3" x14ac:dyDescent="0.3">
      <c r="A377" s="7" t="s">
        <v>166</v>
      </c>
      <c r="B377" s="2">
        <v>67.666666666666657</v>
      </c>
      <c r="C377" s="2">
        <v>74.910714285714306</v>
      </c>
    </row>
    <row r="378" spans="1:3" x14ac:dyDescent="0.3">
      <c r="A378" s="3" t="s">
        <v>91</v>
      </c>
      <c r="B378" s="2">
        <v>67</v>
      </c>
      <c r="C378" s="2">
        <v>75.042424242424246</v>
      </c>
    </row>
    <row r="379" spans="1:3" x14ac:dyDescent="0.3">
      <c r="A379" s="4" t="s">
        <v>151</v>
      </c>
      <c r="B379" s="2">
        <v>67</v>
      </c>
      <c r="C379" s="2">
        <v>75.042424242424246</v>
      </c>
    </row>
    <row r="380" spans="1:3" x14ac:dyDescent="0.3">
      <c r="A380" s="5" t="s">
        <v>158</v>
      </c>
      <c r="B380" s="2">
        <v>67</v>
      </c>
      <c r="C380" s="2">
        <v>75.042424242424246</v>
      </c>
    </row>
    <row r="381" spans="1:3" x14ac:dyDescent="0.3">
      <c r="A381" s="6" t="s">
        <v>169</v>
      </c>
      <c r="B381" s="2">
        <v>67</v>
      </c>
      <c r="C381" s="2">
        <v>75.042424242424246</v>
      </c>
    </row>
    <row r="382" spans="1:3" x14ac:dyDescent="0.3">
      <c r="A382" s="7" t="s">
        <v>166</v>
      </c>
      <c r="B382" s="2">
        <v>67</v>
      </c>
      <c r="C382" s="2">
        <v>75.042424242424246</v>
      </c>
    </row>
    <row r="383" spans="1:3" x14ac:dyDescent="0.3">
      <c r="A383" s="3" t="s">
        <v>92</v>
      </c>
      <c r="B383" s="2">
        <v>54.666666666666664</v>
      </c>
      <c r="C383" s="2">
        <v>75.191358024691354</v>
      </c>
    </row>
    <row r="384" spans="1:3" x14ac:dyDescent="0.3">
      <c r="A384" s="4" t="s">
        <v>148</v>
      </c>
      <c r="B384" s="2">
        <v>54.666666666666664</v>
      </c>
      <c r="C384" s="2">
        <v>75.191358024691354</v>
      </c>
    </row>
    <row r="385" spans="1:3" x14ac:dyDescent="0.3">
      <c r="A385" s="5" t="s">
        <v>159</v>
      </c>
      <c r="B385" s="2">
        <v>54.666666666666664</v>
      </c>
      <c r="C385" s="2">
        <v>75.191358024691354</v>
      </c>
    </row>
    <row r="386" spans="1:3" x14ac:dyDescent="0.3">
      <c r="A386" s="6" t="s">
        <v>172</v>
      </c>
      <c r="B386" s="2">
        <v>54.666666666666664</v>
      </c>
      <c r="C386" s="2">
        <v>75.191358024691354</v>
      </c>
    </row>
    <row r="387" spans="1:3" x14ac:dyDescent="0.3">
      <c r="A387" s="7" t="s">
        <v>167</v>
      </c>
      <c r="B387" s="2">
        <v>54.666666666666664</v>
      </c>
      <c r="C387" s="2">
        <v>75.191358024691354</v>
      </c>
    </row>
    <row r="388" spans="1:3" x14ac:dyDescent="0.3">
      <c r="A388" s="3" t="s">
        <v>93</v>
      </c>
      <c r="B388" s="2">
        <v>71.666666666666671</v>
      </c>
      <c r="C388" s="2">
        <v>75.578616352201266</v>
      </c>
    </row>
    <row r="389" spans="1:3" x14ac:dyDescent="0.3">
      <c r="A389" s="4" t="s">
        <v>149</v>
      </c>
      <c r="B389" s="2">
        <v>71.666666666666671</v>
      </c>
      <c r="C389" s="2">
        <v>75.578616352201266</v>
      </c>
    </row>
    <row r="390" spans="1:3" x14ac:dyDescent="0.3">
      <c r="A390" s="5" t="s">
        <v>159</v>
      </c>
      <c r="B390" s="2">
        <v>71.666666666666671</v>
      </c>
      <c r="C390" s="2">
        <v>75.578616352201266</v>
      </c>
    </row>
    <row r="391" spans="1:3" x14ac:dyDescent="0.3">
      <c r="A391" s="6" t="s">
        <v>170</v>
      </c>
      <c r="B391" s="2">
        <v>71.666666666666671</v>
      </c>
      <c r="C391" s="2">
        <v>75.578616352201266</v>
      </c>
    </row>
    <row r="392" spans="1:3" x14ac:dyDescent="0.3">
      <c r="A392" s="7" t="s">
        <v>166</v>
      </c>
      <c r="B392" s="2">
        <v>71.666666666666671</v>
      </c>
      <c r="C392" s="2">
        <v>75.578616352201266</v>
      </c>
    </row>
    <row r="393" spans="1:3" x14ac:dyDescent="0.3">
      <c r="A393" s="3" t="s">
        <v>94</v>
      </c>
      <c r="B393" s="2">
        <v>80.333333333333329</v>
      </c>
      <c r="C393" s="2">
        <v>75.65384615384616</v>
      </c>
    </row>
    <row r="394" spans="1:3" x14ac:dyDescent="0.3">
      <c r="A394" s="4" t="s">
        <v>150</v>
      </c>
      <c r="B394" s="2">
        <v>80.333333333333329</v>
      </c>
      <c r="C394" s="2">
        <v>75.65384615384616</v>
      </c>
    </row>
    <row r="395" spans="1:3" x14ac:dyDescent="0.3">
      <c r="A395" s="5" t="s">
        <v>158</v>
      </c>
      <c r="B395" s="2">
        <v>80.333333333333329</v>
      </c>
      <c r="C395" s="2">
        <v>75.65384615384616</v>
      </c>
    </row>
    <row r="396" spans="1:3" x14ac:dyDescent="0.3">
      <c r="A396" s="6" t="s">
        <v>168</v>
      </c>
      <c r="B396" s="2">
        <v>80.333333333333329</v>
      </c>
      <c r="C396" s="2">
        <v>75.65384615384616</v>
      </c>
    </row>
    <row r="397" spans="1:3" x14ac:dyDescent="0.3">
      <c r="A397" s="7" t="s">
        <v>166</v>
      </c>
      <c r="B397" s="2">
        <v>80.333333333333329</v>
      </c>
      <c r="C397" s="2">
        <v>75.65384615384616</v>
      </c>
    </row>
    <row r="398" spans="1:3" x14ac:dyDescent="0.3">
      <c r="A398" s="3" t="s">
        <v>95</v>
      </c>
      <c r="B398" s="2">
        <v>62.333333333333329</v>
      </c>
      <c r="C398" s="2">
        <v>75.562091503267993</v>
      </c>
    </row>
    <row r="399" spans="1:3" x14ac:dyDescent="0.3">
      <c r="A399" s="4" t="s">
        <v>152</v>
      </c>
      <c r="B399" s="2">
        <v>62.333333333333329</v>
      </c>
      <c r="C399" s="2">
        <v>75.562091503267993</v>
      </c>
    </row>
    <row r="400" spans="1:3" x14ac:dyDescent="0.3">
      <c r="A400" s="5" t="s">
        <v>159</v>
      </c>
      <c r="B400" s="2">
        <v>62.333333333333329</v>
      </c>
      <c r="C400" s="2">
        <v>75.562091503267993</v>
      </c>
    </row>
    <row r="401" spans="1:3" x14ac:dyDescent="0.3">
      <c r="A401" s="6" t="s">
        <v>169</v>
      </c>
      <c r="B401" s="2">
        <v>62.333333333333329</v>
      </c>
      <c r="C401" s="2">
        <v>75.562091503267993</v>
      </c>
    </row>
    <row r="402" spans="1:3" x14ac:dyDescent="0.3">
      <c r="A402" s="7" t="s">
        <v>166</v>
      </c>
      <c r="B402" s="2">
        <v>62.333333333333329</v>
      </c>
      <c r="C402" s="2">
        <v>75.562091503267993</v>
      </c>
    </row>
    <row r="403" spans="1:3" x14ac:dyDescent="0.3">
      <c r="A403" s="3" t="s">
        <v>96</v>
      </c>
      <c r="B403" s="2">
        <v>74</v>
      </c>
      <c r="C403" s="2">
        <v>75.826666666666682</v>
      </c>
    </row>
    <row r="404" spans="1:3" x14ac:dyDescent="0.3">
      <c r="A404" s="4" t="s">
        <v>148</v>
      </c>
      <c r="B404" s="2">
        <v>74</v>
      </c>
      <c r="C404" s="2">
        <v>75.826666666666682</v>
      </c>
    </row>
    <row r="405" spans="1:3" x14ac:dyDescent="0.3">
      <c r="A405" s="5" t="s">
        <v>158</v>
      </c>
      <c r="B405" s="2">
        <v>74</v>
      </c>
      <c r="C405" s="2">
        <v>75.826666666666682</v>
      </c>
    </row>
    <row r="406" spans="1:3" x14ac:dyDescent="0.3">
      <c r="A406" s="6" t="s">
        <v>170</v>
      </c>
      <c r="B406" s="2">
        <v>74</v>
      </c>
      <c r="C406" s="2">
        <v>75.826666666666682</v>
      </c>
    </row>
    <row r="407" spans="1:3" x14ac:dyDescent="0.3">
      <c r="A407" s="7" t="s">
        <v>166</v>
      </c>
      <c r="B407" s="2">
        <v>74</v>
      </c>
      <c r="C407" s="2">
        <v>75.826666666666682</v>
      </c>
    </row>
    <row r="408" spans="1:3" x14ac:dyDescent="0.3">
      <c r="A408" s="3" t="s">
        <v>97</v>
      </c>
      <c r="B408" s="2">
        <v>58.666666666666664</v>
      </c>
      <c r="C408" s="2">
        <v>75.863945578231309</v>
      </c>
    </row>
    <row r="409" spans="1:3" x14ac:dyDescent="0.3">
      <c r="A409" s="4" t="s">
        <v>149</v>
      </c>
      <c r="B409" s="2">
        <v>58.666666666666664</v>
      </c>
      <c r="C409" s="2">
        <v>75.863945578231309</v>
      </c>
    </row>
    <row r="410" spans="1:3" x14ac:dyDescent="0.3">
      <c r="A410" s="5" t="s">
        <v>158</v>
      </c>
      <c r="B410" s="2">
        <v>58.666666666666664</v>
      </c>
      <c r="C410" s="2">
        <v>75.863945578231309</v>
      </c>
    </row>
    <row r="411" spans="1:3" x14ac:dyDescent="0.3">
      <c r="A411" s="6" t="s">
        <v>172</v>
      </c>
      <c r="B411" s="2">
        <v>58.666666666666664</v>
      </c>
      <c r="C411" s="2">
        <v>75.863945578231309</v>
      </c>
    </row>
    <row r="412" spans="1:3" x14ac:dyDescent="0.3">
      <c r="A412" s="7" t="s">
        <v>167</v>
      </c>
      <c r="B412" s="2">
        <v>58.666666666666664</v>
      </c>
      <c r="C412" s="2">
        <v>75.863945578231309</v>
      </c>
    </row>
    <row r="413" spans="1:3" x14ac:dyDescent="0.3">
      <c r="A413" s="3" t="s">
        <v>98</v>
      </c>
      <c r="B413" s="2">
        <v>77.333333333333329</v>
      </c>
      <c r="C413" s="2">
        <v>76.222222222222229</v>
      </c>
    </row>
    <row r="414" spans="1:3" x14ac:dyDescent="0.3">
      <c r="A414" s="4" t="s">
        <v>150</v>
      </c>
      <c r="B414" s="2">
        <v>77.333333333333329</v>
      </c>
      <c r="C414" s="2">
        <v>76.222222222222229</v>
      </c>
    </row>
    <row r="415" spans="1:3" x14ac:dyDescent="0.3">
      <c r="A415" s="5" t="s">
        <v>159</v>
      </c>
      <c r="B415" s="2">
        <v>77.333333333333329</v>
      </c>
      <c r="C415" s="2">
        <v>76.222222222222229</v>
      </c>
    </row>
    <row r="416" spans="1:3" x14ac:dyDescent="0.3">
      <c r="A416" s="6" t="s">
        <v>170</v>
      </c>
      <c r="B416" s="2">
        <v>77.333333333333329</v>
      </c>
      <c r="C416" s="2">
        <v>76.222222222222229</v>
      </c>
    </row>
    <row r="417" spans="1:3" x14ac:dyDescent="0.3">
      <c r="A417" s="7" t="s">
        <v>166</v>
      </c>
      <c r="B417" s="2">
        <v>77.333333333333329</v>
      </c>
      <c r="C417" s="2">
        <v>76.222222222222229</v>
      </c>
    </row>
    <row r="418" spans="1:3" x14ac:dyDescent="0.3">
      <c r="A418" s="3" t="s">
        <v>99</v>
      </c>
      <c r="B418" s="2">
        <v>76.666666666666671</v>
      </c>
      <c r="C418" s="2">
        <v>76.198581560283699</v>
      </c>
    </row>
    <row r="419" spans="1:3" x14ac:dyDescent="0.3">
      <c r="A419" s="4" t="s">
        <v>151</v>
      </c>
      <c r="B419" s="2">
        <v>76.666666666666671</v>
      </c>
      <c r="C419" s="2">
        <v>76.198581560283699</v>
      </c>
    </row>
    <row r="420" spans="1:3" x14ac:dyDescent="0.3">
      <c r="A420" s="5" t="s">
        <v>159</v>
      </c>
      <c r="B420" s="2">
        <v>76.666666666666671</v>
      </c>
      <c r="C420" s="2">
        <v>76.198581560283699</v>
      </c>
    </row>
    <row r="421" spans="1:3" x14ac:dyDescent="0.3">
      <c r="A421" s="6" t="s">
        <v>170</v>
      </c>
      <c r="B421" s="2">
        <v>76.666666666666671</v>
      </c>
      <c r="C421" s="2">
        <v>76.198581560283699</v>
      </c>
    </row>
    <row r="422" spans="1:3" x14ac:dyDescent="0.3">
      <c r="A422" s="7" t="s">
        <v>166</v>
      </c>
      <c r="B422" s="2">
        <v>76.666666666666671</v>
      </c>
      <c r="C422" s="2">
        <v>76.198581560283699</v>
      </c>
    </row>
    <row r="423" spans="1:3" x14ac:dyDescent="0.3">
      <c r="A423" s="3" t="s">
        <v>100</v>
      </c>
      <c r="B423" s="2">
        <v>78</v>
      </c>
      <c r="C423" s="2">
        <v>76.188405797101467</v>
      </c>
    </row>
    <row r="424" spans="1:3" x14ac:dyDescent="0.3">
      <c r="A424" s="4" t="s">
        <v>148</v>
      </c>
      <c r="B424" s="2">
        <v>78</v>
      </c>
      <c r="C424" s="2">
        <v>76.188405797101467</v>
      </c>
    </row>
    <row r="425" spans="1:3" x14ac:dyDescent="0.3">
      <c r="A425" s="5" t="s">
        <v>158</v>
      </c>
      <c r="B425" s="2">
        <v>78</v>
      </c>
      <c r="C425" s="2">
        <v>76.188405797101467</v>
      </c>
    </row>
    <row r="426" spans="1:3" x14ac:dyDescent="0.3">
      <c r="A426" s="6" t="s">
        <v>170</v>
      </c>
      <c r="B426" s="2">
        <v>78</v>
      </c>
      <c r="C426" s="2">
        <v>76.188405797101467</v>
      </c>
    </row>
    <row r="427" spans="1:3" x14ac:dyDescent="0.3">
      <c r="A427" s="7" t="s">
        <v>166</v>
      </c>
      <c r="B427" s="2">
        <v>78</v>
      </c>
      <c r="C427" s="2">
        <v>76.188405797101467</v>
      </c>
    </row>
    <row r="428" spans="1:3" x14ac:dyDescent="0.3">
      <c r="A428" s="3" t="s">
        <v>101</v>
      </c>
      <c r="B428" s="2">
        <v>85.666666666666671</v>
      </c>
      <c r="C428" s="2">
        <v>76.148148148148167</v>
      </c>
    </row>
    <row r="429" spans="1:3" x14ac:dyDescent="0.3">
      <c r="A429" s="4" t="s">
        <v>151</v>
      </c>
      <c r="B429" s="2">
        <v>85.666666666666671</v>
      </c>
      <c r="C429" s="2">
        <v>76.148148148148167</v>
      </c>
    </row>
    <row r="430" spans="1:3" x14ac:dyDescent="0.3">
      <c r="A430" s="5" t="s">
        <v>159</v>
      </c>
      <c r="B430" s="2">
        <v>85.666666666666671</v>
      </c>
      <c r="C430" s="2">
        <v>76.148148148148167</v>
      </c>
    </row>
    <row r="431" spans="1:3" x14ac:dyDescent="0.3">
      <c r="A431" s="6" t="s">
        <v>168</v>
      </c>
      <c r="B431" s="2">
        <v>85.666666666666671</v>
      </c>
      <c r="C431" s="2">
        <v>76.148148148148167</v>
      </c>
    </row>
    <row r="432" spans="1:3" x14ac:dyDescent="0.3">
      <c r="A432" s="7" t="s">
        <v>166</v>
      </c>
      <c r="B432" s="2">
        <v>85.666666666666671</v>
      </c>
      <c r="C432" s="2">
        <v>76.148148148148167</v>
      </c>
    </row>
    <row r="433" spans="1:3" x14ac:dyDescent="0.3">
      <c r="A433" s="3" t="s">
        <v>102</v>
      </c>
      <c r="B433" s="2">
        <v>73.333333333333329</v>
      </c>
      <c r="C433" s="2">
        <v>75.931818181818215</v>
      </c>
    </row>
    <row r="434" spans="1:3" x14ac:dyDescent="0.3">
      <c r="A434" s="4" t="s">
        <v>149</v>
      </c>
      <c r="B434" s="2">
        <v>73.333333333333329</v>
      </c>
      <c r="C434" s="2">
        <v>75.931818181818215</v>
      </c>
    </row>
    <row r="435" spans="1:3" x14ac:dyDescent="0.3">
      <c r="A435" s="5" t="s">
        <v>158</v>
      </c>
      <c r="B435" s="2">
        <v>73.333333333333329</v>
      </c>
      <c r="C435" s="2">
        <v>75.931818181818215</v>
      </c>
    </row>
    <row r="436" spans="1:3" x14ac:dyDescent="0.3">
      <c r="A436" s="6" t="s">
        <v>170</v>
      </c>
      <c r="B436" s="2">
        <v>73.333333333333329</v>
      </c>
      <c r="C436" s="2">
        <v>75.931818181818215</v>
      </c>
    </row>
    <row r="437" spans="1:3" x14ac:dyDescent="0.3">
      <c r="A437" s="7" t="s">
        <v>166</v>
      </c>
      <c r="B437" s="2">
        <v>73.333333333333329</v>
      </c>
      <c r="C437" s="2">
        <v>75.931818181818215</v>
      </c>
    </row>
    <row r="438" spans="1:3" x14ac:dyDescent="0.3">
      <c r="A438" s="3" t="s">
        <v>103</v>
      </c>
      <c r="B438" s="2">
        <v>85</v>
      </c>
      <c r="C438" s="2">
        <v>75.99224806201552</v>
      </c>
    </row>
    <row r="439" spans="1:3" x14ac:dyDescent="0.3">
      <c r="A439" s="4" t="s">
        <v>150</v>
      </c>
      <c r="B439" s="2">
        <v>85</v>
      </c>
      <c r="C439" s="2">
        <v>75.99224806201552</v>
      </c>
    </row>
    <row r="440" spans="1:3" x14ac:dyDescent="0.3">
      <c r="A440" s="5" t="s">
        <v>158</v>
      </c>
      <c r="B440" s="2">
        <v>85</v>
      </c>
      <c r="C440" s="2">
        <v>75.99224806201552</v>
      </c>
    </row>
    <row r="441" spans="1:3" x14ac:dyDescent="0.3">
      <c r="A441" s="6" t="s">
        <v>168</v>
      </c>
      <c r="B441" s="2">
        <v>85</v>
      </c>
      <c r="C441" s="2">
        <v>75.99224806201552</v>
      </c>
    </row>
    <row r="442" spans="1:3" x14ac:dyDescent="0.3">
      <c r="A442" s="7" t="s">
        <v>166</v>
      </c>
      <c r="B442" s="2">
        <v>85</v>
      </c>
      <c r="C442" s="2">
        <v>75.99224806201552</v>
      </c>
    </row>
    <row r="443" spans="1:3" x14ac:dyDescent="0.3">
      <c r="A443" s="3" t="s">
        <v>104</v>
      </c>
      <c r="B443" s="2">
        <v>79</v>
      </c>
      <c r="C443" s="2">
        <v>75.7777777777778</v>
      </c>
    </row>
    <row r="444" spans="1:3" x14ac:dyDescent="0.3">
      <c r="A444" s="4" t="s">
        <v>151</v>
      </c>
      <c r="B444" s="2">
        <v>79</v>
      </c>
      <c r="C444" s="2">
        <v>75.7777777777778</v>
      </c>
    </row>
    <row r="445" spans="1:3" x14ac:dyDescent="0.3">
      <c r="A445" s="5" t="s">
        <v>159</v>
      </c>
      <c r="B445" s="2">
        <v>79</v>
      </c>
      <c r="C445" s="2">
        <v>75.7777777777778</v>
      </c>
    </row>
    <row r="446" spans="1:3" x14ac:dyDescent="0.3">
      <c r="A446" s="6" t="s">
        <v>170</v>
      </c>
      <c r="B446" s="2">
        <v>79</v>
      </c>
      <c r="C446" s="2">
        <v>75.7777777777778</v>
      </c>
    </row>
    <row r="447" spans="1:3" x14ac:dyDescent="0.3">
      <c r="A447" s="7" t="s">
        <v>166</v>
      </c>
      <c r="B447" s="2">
        <v>79</v>
      </c>
      <c r="C447" s="2">
        <v>75.7777777777778</v>
      </c>
    </row>
    <row r="448" spans="1:3" x14ac:dyDescent="0.3">
      <c r="A448" s="3" t="s">
        <v>105</v>
      </c>
      <c r="B448" s="2">
        <v>81.666666666666671</v>
      </c>
      <c r="C448" s="2">
        <v>75.699186991869936</v>
      </c>
    </row>
    <row r="449" spans="1:3" x14ac:dyDescent="0.3">
      <c r="A449" s="4" t="s">
        <v>148</v>
      </c>
      <c r="B449" s="2">
        <v>81.666666666666671</v>
      </c>
      <c r="C449" s="2">
        <v>75.699186991869936</v>
      </c>
    </row>
    <row r="450" spans="1:3" x14ac:dyDescent="0.3">
      <c r="A450" s="5" t="s">
        <v>158</v>
      </c>
      <c r="B450" s="2">
        <v>81.666666666666671</v>
      </c>
      <c r="C450" s="2">
        <v>75.699186991869936</v>
      </c>
    </row>
    <row r="451" spans="1:3" x14ac:dyDescent="0.3">
      <c r="A451" s="6" t="s">
        <v>168</v>
      </c>
      <c r="B451" s="2">
        <v>81.666666666666671</v>
      </c>
      <c r="C451" s="2">
        <v>75.699186991869936</v>
      </c>
    </row>
    <row r="452" spans="1:3" x14ac:dyDescent="0.3">
      <c r="A452" s="7" t="s">
        <v>166</v>
      </c>
      <c r="B452" s="2">
        <v>81.666666666666671</v>
      </c>
      <c r="C452" s="2">
        <v>75.699186991869936</v>
      </c>
    </row>
    <row r="453" spans="1:3" x14ac:dyDescent="0.3">
      <c r="A453" s="3" t="s">
        <v>106</v>
      </c>
      <c r="B453" s="2">
        <v>76.666666666666671</v>
      </c>
      <c r="C453" s="2">
        <v>75.550000000000011</v>
      </c>
    </row>
    <row r="454" spans="1:3" x14ac:dyDescent="0.3">
      <c r="A454" s="4" t="s">
        <v>152</v>
      </c>
      <c r="B454" s="2">
        <v>76.666666666666671</v>
      </c>
      <c r="C454" s="2">
        <v>75.550000000000011</v>
      </c>
    </row>
    <row r="455" spans="1:3" x14ac:dyDescent="0.3">
      <c r="A455" s="5" t="s">
        <v>159</v>
      </c>
      <c r="B455" s="2">
        <v>76.666666666666671</v>
      </c>
      <c r="C455" s="2">
        <v>75.550000000000011</v>
      </c>
    </row>
    <row r="456" spans="1:3" x14ac:dyDescent="0.3">
      <c r="A456" s="6" t="s">
        <v>170</v>
      </c>
      <c r="B456" s="2">
        <v>76.666666666666671</v>
      </c>
      <c r="C456" s="2">
        <v>75.550000000000011</v>
      </c>
    </row>
    <row r="457" spans="1:3" x14ac:dyDescent="0.3">
      <c r="A457" s="7" t="s">
        <v>166</v>
      </c>
      <c r="B457" s="2">
        <v>76.666666666666671</v>
      </c>
      <c r="C457" s="2">
        <v>75.550000000000011</v>
      </c>
    </row>
    <row r="458" spans="1:3" x14ac:dyDescent="0.3">
      <c r="A458" s="3" t="s">
        <v>107</v>
      </c>
      <c r="B458" s="2">
        <v>69.666666666666671</v>
      </c>
      <c r="C458" s="2">
        <v>75.521367521367537</v>
      </c>
    </row>
    <row r="459" spans="1:3" x14ac:dyDescent="0.3">
      <c r="A459" s="4" t="s">
        <v>149</v>
      </c>
      <c r="B459" s="2">
        <v>69.666666666666671</v>
      </c>
      <c r="C459" s="2">
        <v>75.521367521367537</v>
      </c>
    </row>
    <row r="460" spans="1:3" x14ac:dyDescent="0.3">
      <c r="A460" s="5" t="s">
        <v>158</v>
      </c>
      <c r="B460" s="2">
        <v>69.666666666666671</v>
      </c>
      <c r="C460" s="2">
        <v>75.521367521367537</v>
      </c>
    </row>
    <row r="461" spans="1:3" x14ac:dyDescent="0.3">
      <c r="A461" s="6" t="s">
        <v>169</v>
      </c>
      <c r="B461" s="2">
        <v>69.666666666666671</v>
      </c>
      <c r="C461" s="2">
        <v>75.521367521367537</v>
      </c>
    </row>
    <row r="462" spans="1:3" x14ac:dyDescent="0.3">
      <c r="A462" s="7" t="s">
        <v>166</v>
      </c>
      <c r="B462" s="2">
        <v>69.666666666666671</v>
      </c>
      <c r="C462" s="2">
        <v>75.521367521367537</v>
      </c>
    </row>
    <row r="463" spans="1:3" x14ac:dyDescent="0.3">
      <c r="A463" s="3" t="s">
        <v>108</v>
      </c>
      <c r="B463" s="2">
        <v>63</v>
      </c>
      <c r="C463" s="2">
        <v>75.675438596491233</v>
      </c>
    </row>
    <row r="464" spans="1:3" x14ac:dyDescent="0.3">
      <c r="A464" s="4" t="s">
        <v>151</v>
      </c>
      <c r="B464" s="2">
        <v>63</v>
      </c>
      <c r="C464" s="2">
        <v>75.675438596491233</v>
      </c>
    </row>
    <row r="465" spans="1:3" x14ac:dyDescent="0.3">
      <c r="A465" s="5" t="s">
        <v>158</v>
      </c>
      <c r="B465" s="2">
        <v>63</v>
      </c>
      <c r="C465" s="2">
        <v>75.675438596491233</v>
      </c>
    </row>
    <row r="466" spans="1:3" x14ac:dyDescent="0.3">
      <c r="A466" s="6" t="s">
        <v>169</v>
      </c>
      <c r="B466" s="2">
        <v>63</v>
      </c>
      <c r="C466" s="2">
        <v>75.675438596491233</v>
      </c>
    </row>
    <row r="467" spans="1:3" x14ac:dyDescent="0.3">
      <c r="A467" s="7" t="s">
        <v>166</v>
      </c>
      <c r="B467" s="2">
        <v>63</v>
      </c>
      <c r="C467" s="2">
        <v>75.675438596491233</v>
      </c>
    </row>
    <row r="468" spans="1:3" x14ac:dyDescent="0.3">
      <c r="A468" s="3" t="s">
        <v>109</v>
      </c>
      <c r="B468" s="2">
        <v>63.333333333333329</v>
      </c>
      <c r="C468" s="2">
        <v>76.018018018018026</v>
      </c>
    </row>
    <row r="469" spans="1:3" x14ac:dyDescent="0.3">
      <c r="A469" s="4" t="s">
        <v>152</v>
      </c>
      <c r="B469" s="2">
        <v>63.333333333333329</v>
      </c>
      <c r="C469" s="2">
        <v>76.018018018018026</v>
      </c>
    </row>
    <row r="470" spans="1:3" x14ac:dyDescent="0.3">
      <c r="A470" s="5" t="s">
        <v>159</v>
      </c>
      <c r="B470" s="2">
        <v>63.333333333333329</v>
      </c>
      <c r="C470" s="2">
        <v>76.018018018018026</v>
      </c>
    </row>
    <row r="471" spans="1:3" x14ac:dyDescent="0.3">
      <c r="A471" s="6" t="s">
        <v>169</v>
      </c>
      <c r="B471" s="2">
        <v>63.333333333333329</v>
      </c>
      <c r="C471" s="2">
        <v>76.018018018018026</v>
      </c>
    </row>
    <row r="472" spans="1:3" x14ac:dyDescent="0.3">
      <c r="A472" s="7" t="s">
        <v>166</v>
      </c>
      <c r="B472" s="2">
        <v>63.333333333333329</v>
      </c>
      <c r="C472" s="2">
        <v>76.018018018018026</v>
      </c>
    </row>
    <row r="473" spans="1:3" x14ac:dyDescent="0.3">
      <c r="A473" s="3" t="s">
        <v>110</v>
      </c>
      <c r="B473" s="2">
        <v>86</v>
      </c>
      <c r="C473" s="2">
        <v>76.370370370370381</v>
      </c>
    </row>
    <row r="474" spans="1:3" x14ac:dyDescent="0.3">
      <c r="A474" s="4" t="s">
        <v>148</v>
      </c>
      <c r="B474" s="2">
        <v>86</v>
      </c>
      <c r="C474" s="2">
        <v>76.370370370370381</v>
      </c>
    </row>
    <row r="475" spans="1:3" x14ac:dyDescent="0.3">
      <c r="A475" s="5" t="s">
        <v>158</v>
      </c>
      <c r="B475" s="2">
        <v>86</v>
      </c>
      <c r="C475" s="2">
        <v>76.370370370370381</v>
      </c>
    </row>
    <row r="476" spans="1:3" x14ac:dyDescent="0.3">
      <c r="A476" s="6" t="s">
        <v>168</v>
      </c>
      <c r="B476" s="2">
        <v>86</v>
      </c>
      <c r="C476" s="2">
        <v>76.370370370370381</v>
      </c>
    </row>
    <row r="477" spans="1:3" x14ac:dyDescent="0.3">
      <c r="A477" s="7" t="s">
        <v>166</v>
      </c>
      <c r="B477" s="2">
        <v>86</v>
      </c>
      <c r="C477" s="2">
        <v>76.370370370370381</v>
      </c>
    </row>
    <row r="478" spans="1:3" x14ac:dyDescent="0.3">
      <c r="A478" s="3" t="s">
        <v>111</v>
      </c>
      <c r="B478" s="2">
        <v>85</v>
      </c>
      <c r="C478" s="2">
        <v>76.095238095238102</v>
      </c>
    </row>
    <row r="479" spans="1:3" x14ac:dyDescent="0.3">
      <c r="A479" s="4" t="s">
        <v>148</v>
      </c>
      <c r="B479" s="2">
        <v>85</v>
      </c>
      <c r="C479" s="2">
        <v>76.095238095238102</v>
      </c>
    </row>
    <row r="480" spans="1:3" x14ac:dyDescent="0.3">
      <c r="A480" s="5" t="s">
        <v>158</v>
      </c>
      <c r="B480" s="2">
        <v>85</v>
      </c>
      <c r="C480" s="2">
        <v>76.095238095238102</v>
      </c>
    </row>
    <row r="481" spans="1:3" x14ac:dyDescent="0.3">
      <c r="A481" s="6" t="s">
        <v>168</v>
      </c>
      <c r="B481" s="2">
        <v>85</v>
      </c>
      <c r="C481" s="2">
        <v>76.095238095238102</v>
      </c>
    </row>
    <row r="482" spans="1:3" x14ac:dyDescent="0.3">
      <c r="A482" s="7" t="s">
        <v>166</v>
      </c>
      <c r="B482" s="2">
        <v>85</v>
      </c>
      <c r="C482" s="2">
        <v>76.095238095238102</v>
      </c>
    </row>
    <row r="483" spans="1:3" x14ac:dyDescent="0.3">
      <c r="A483" s="3" t="s">
        <v>112</v>
      </c>
      <c r="B483" s="2">
        <v>85.666666666666671</v>
      </c>
      <c r="C483" s="2">
        <v>75.833333333333329</v>
      </c>
    </row>
    <row r="484" spans="1:3" x14ac:dyDescent="0.3">
      <c r="A484" s="4" t="s">
        <v>150</v>
      </c>
      <c r="B484" s="2">
        <v>85.666666666666671</v>
      </c>
      <c r="C484" s="2">
        <v>75.833333333333329</v>
      </c>
    </row>
    <row r="485" spans="1:3" x14ac:dyDescent="0.3">
      <c r="A485" s="5" t="s">
        <v>159</v>
      </c>
      <c r="B485" s="2">
        <v>85.666666666666671</v>
      </c>
      <c r="C485" s="2">
        <v>75.833333333333329</v>
      </c>
    </row>
    <row r="486" spans="1:3" x14ac:dyDescent="0.3">
      <c r="A486" s="6" t="s">
        <v>168</v>
      </c>
      <c r="B486" s="2">
        <v>85.666666666666671</v>
      </c>
      <c r="C486" s="2">
        <v>75.833333333333329</v>
      </c>
    </row>
    <row r="487" spans="1:3" x14ac:dyDescent="0.3">
      <c r="A487" s="7" t="s">
        <v>166</v>
      </c>
      <c r="B487" s="2">
        <v>85.666666666666671</v>
      </c>
      <c r="C487" s="2">
        <v>75.833333333333329</v>
      </c>
    </row>
    <row r="488" spans="1:3" x14ac:dyDescent="0.3">
      <c r="A488" s="3" t="s">
        <v>113</v>
      </c>
      <c r="B488" s="2">
        <v>60.666666666666671</v>
      </c>
      <c r="C488" s="2">
        <v>75.535353535353536</v>
      </c>
    </row>
    <row r="489" spans="1:3" x14ac:dyDescent="0.3">
      <c r="A489" s="4" t="s">
        <v>149</v>
      </c>
      <c r="B489" s="2">
        <v>60.666666666666671</v>
      </c>
      <c r="C489" s="2">
        <v>75.535353535353536</v>
      </c>
    </row>
    <row r="490" spans="1:3" x14ac:dyDescent="0.3">
      <c r="A490" s="5" t="s">
        <v>159</v>
      </c>
      <c r="B490" s="2">
        <v>60.666666666666671</v>
      </c>
      <c r="C490" s="2">
        <v>75.535353535353536</v>
      </c>
    </row>
    <row r="491" spans="1:3" x14ac:dyDescent="0.3">
      <c r="A491" s="6" t="s">
        <v>169</v>
      </c>
      <c r="B491" s="2">
        <v>60.666666666666671</v>
      </c>
      <c r="C491" s="2">
        <v>75.535353535353536</v>
      </c>
    </row>
    <row r="492" spans="1:3" x14ac:dyDescent="0.3">
      <c r="A492" s="7" t="s">
        <v>166</v>
      </c>
      <c r="B492" s="2">
        <v>60.666666666666671</v>
      </c>
      <c r="C492" s="2">
        <v>75.535353535353536</v>
      </c>
    </row>
    <row r="493" spans="1:3" x14ac:dyDescent="0.3">
      <c r="A493" s="3" t="s">
        <v>114</v>
      </c>
      <c r="B493" s="2">
        <v>75</v>
      </c>
      <c r="C493" s="2">
        <v>75.999999999999986</v>
      </c>
    </row>
    <row r="494" spans="1:3" x14ac:dyDescent="0.3">
      <c r="A494" s="4" t="s">
        <v>152</v>
      </c>
      <c r="B494" s="2">
        <v>75</v>
      </c>
      <c r="C494" s="2">
        <v>75.999999999999986</v>
      </c>
    </row>
    <row r="495" spans="1:3" x14ac:dyDescent="0.3">
      <c r="A495" s="5" t="s">
        <v>159</v>
      </c>
      <c r="B495" s="2">
        <v>75</v>
      </c>
      <c r="C495" s="2">
        <v>75.999999999999986</v>
      </c>
    </row>
    <row r="496" spans="1:3" x14ac:dyDescent="0.3">
      <c r="A496" s="6" t="s">
        <v>170</v>
      </c>
      <c r="B496" s="2">
        <v>75</v>
      </c>
      <c r="C496" s="2">
        <v>75.999999999999986</v>
      </c>
    </row>
    <row r="497" spans="1:3" x14ac:dyDescent="0.3">
      <c r="A497" s="7" t="s">
        <v>166</v>
      </c>
      <c r="B497" s="2">
        <v>75</v>
      </c>
      <c r="C497" s="2">
        <v>75.999999999999986</v>
      </c>
    </row>
    <row r="498" spans="1:3" x14ac:dyDescent="0.3">
      <c r="A498" s="3" t="s">
        <v>115</v>
      </c>
      <c r="B498" s="2">
        <v>79</v>
      </c>
      <c r="C498" s="2">
        <v>76.032258064516114</v>
      </c>
    </row>
    <row r="499" spans="1:3" x14ac:dyDescent="0.3">
      <c r="A499" s="4" t="s">
        <v>148</v>
      </c>
      <c r="B499" s="2">
        <v>79</v>
      </c>
      <c r="C499" s="2">
        <v>76.032258064516114</v>
      </c>
    </row>
    <row r="500" spans="1:3" x14ac:dyDescent="0.3">
      <c r="A500" s="5" t="s">
        <v>158</v>
      </c>
      <c r="B500" s="2">
        <v>79</v>
      </c>
      <c r="C500" s="2">
        <v>76.032258064516114</v>
      </c>
    </row>
    <row r="501" spans="1:3" x14ac:dyDescent="0.3">
      <c r="A501" s="6" t="s">
        <v>170</v>
      </c>
      <c r="B501" s="2">
        <v>79</v>
      </c>
      <c r="C501" s="2">
        <v>76.032258064516114</v>
      </c>
    </row>
    <row r="502" spans="1:3" x14ac:dyDescent="0.3">
      <c r="A502" s="7" t="s">
        <v>166</v>
      </c>
      <c r="B502" s="2">
        <v>79</v>
      </c>
      <c r="C502" s="2">
        <v>76.032258064516114</v>
      </c>
    </row>
    <row r="503" spans="1:3" x14ac:dyDescent="0.3">
      <c r="A503" s="3" t="s">
        <v>116</v>
      </c>
      <c r="B503" s="2">
        <v>76.666666666666671</v>
      </c>
      <c r="C503" s="2">
        <v>75.933333333333323</v>
      </c>
    </row>
    <row r="504" spans="1:3" x14ac:dyDescent="0.3">
      <c r="A504" s="4" t="s">
        <v>149</v>
      </c>
      <c r="B504" s="2">
        <v>76.666666666666671</v>
      </c>
      <c r="C504" s="2">
        <v>75.933333333333323</v>
      </c>
    </row>
    <row r="505" spans="1:3" x14ac:dyDescent="0.3">
      <c r="A505" s="5" t="s">
        <v>158</v>
      </c>
      <c r="B505" s="2">
        <v>76.666666666666671</v>
      </c>
      <c r="C505" s="2">
        <v>75.933333333333323</v>
      </c>
    </row>
    <row r="506" spans="1:3" x14ac:dyDescent="0.3">
      <c r="A506" s="6" t="s">
        <v>170</v>
      </c>
      <c r="B506" s="2">
        <v>76.666666666666671</v>
      </c>
      <c r="C506" s="2">
        <v>75.933333333333323</v>
      </c>
    </row>
    <row r="507" spans="1:3" x14ac:dyDescent="0.3">
      <c r="A507" s="7" t="s">
        <v>166</v>
      </c>
      <c r="B507" s="2">
        <v>76.666666666666671</v>
      </c>
      <c r="C507" s="2">
        <v>75.933333333333323</v>
      </c>
    </row>
    <row r="508" spans="1:3" x14ac:dyDescent="0.3">
      <c r="A508" s="3" t="s">
        <v>117</v>
      </c>
      <c r="B508" s="2">
        <v>84.333333333333343</v>
      </c>
      <c r="C508" s="2">
        <v>75.908045977011469</v>
      </c>
    </row>
    <row r="509" spans="1:3" x14ac:dyDescent="0.3">
      <c r="A509" s="4" t="s">
        <v>151</v>
      </c>
      <c r="B509" s="2">
        <v>84.333333333333343</v>
      </c>
      <c r="C509" s="2">
        <v>75.908045977011469</v>
      </c>
    </row>
    <row r="510" spans="1:3" x14ac:dyDescent="0.3">
      <c r="A510" s="5" t="s">
        <v>159</v>
      </c>
      <c r="B510" s="2">
        <v>84.333333333333343</v>
      </c>
      <c r="C510" s="2">
        <v>75.908045977011469</v>
      </c>
    </row>
    <row r="511" spans="1:3" x14ac:dyDescent="0.3">
      <c r="A511" s="6" t="s">
        <v>168</v>
      </c>
      <c r="B511" s="2">
        <v>84.333333333333343</v>
      </c>
      <c r="C511" s="2">
        <v>75.908045977011469</v>
      </c>
    </row>
    <row r="512" spans="1:3" x14ac:dyDescent="0.3">
      <c r="A512" s="7" t="s">
        <v>166</v>
      </c>
      <c r="B512" s="2">
        <v>84.333333333333343</v>
      </c>
      <c r="C512" s="2">
        <v>75.908045977011469</v>
      </c>
    </row>
    <row r="513" spans="1:3" x14ac:dyDescent="0.3">
      <c r="A513" s="3" t="s">
        <v>118</v>
      </c>
      <c r="B513" s="2">
        <v>80.666666666666657</v>
      </c>
      <c r="C513" s="2">
        <v>75.607142857142847</v>
      </c>
    </row>
    <row r="514" spans="1:3" x14ac:dyDescent="0.3">
      <c r="A514" s="4" t="s">
        <v>150</v>
      </c>
      <c r="B514" s="2">
        <v>80.666666666666657</v>
      </c>
      <c r="C514" s="2">
        <v>75.607142857142847</v>
      </c>
    </row>
    <row r="515" spans="1:3" x14ac:dyDescent="0.3">
      <c r="A515" s="5" t="s">
        <v>158</v>
      </c>
      <c r="B515" s="2">
        <v>80.666666666666657</v>
      </c>
      <c r="C515" s="2">
        <v>75.607142857142847</v>
      </c>
    </row>
    <row r="516" spans="1:3" x14ac:dyDescent="0.3">
      <c r="A516" s="6" t="s">
        <v>168</v>
      </c>
      <c r="B516" s="2">
        <v>80.666666666666657</v>
      </c>
      <c r="C516" s="2">
        <v>75.607142857142847</v>
      </c>
    </row>
    <row r="517" spans="1:3" x14ac:dyDescent="0.3">
      <c r="A517" s="7" t="s">
        <v>166</v>
      </c>
      <c r="B517" s="2">
        <v>80.666666666666657</v>
      </c>
      <c r="C517" s="2">
        <v>75.607142857142847</v>
      </c>
    </row>
    <row r="518" spans="1:3" x14ac:dyDescent="0.3">
      <c r="A518" s="3" t="s">
        <v>119</v>
      </c>
      <c r="B518" s="2">
        <v>84</v>
      </c>
      <c r="C518" s="2">
        <v>75.419753086419746</v>
      </c>
    </row>
    <row r="519" spans="1:3" x14ac:dyDescent="0.3">
      <c r="A519" s="4" t="s">
        <v>149</v>
      </c>
      <c r="B519" s="2">
        <v>84</v>
      </c>
      <c r="C519" s="2">
        <v>75.419753086419746</v>
      </c>
    </row>
    <row r="520" spans="1:3" x14ac:dyDescent="0.3">
      <c r="A520" s="5" t="s">
        <v>159</v>
      </c>
      <c r="B520" s="2">
        <v>84</v>
      </c>
      <c r="C520" s="2">
        <v>75.419753086419746</v>
      </c>
    </row>
    <row r="521" spans="1:3" x14ac:dyDescent="0.3">
      <c r="A521" s="6" t="s">
        <v>168</v>
      </c>
      <c r="B521" s="2">
        <v>84</v>
      </c>
      <c r="C521" s="2">
        <v>75.419753086419746</v>
      </c>
    </row>
    <row r="522" spans="1:3" x14ac:dyDescent="0.3">
      <c r="A522" s="7" t="s">
        <v>166</v>
      </c>
      <c r="B522" s="2">
        <v>84</v>
      </c>
      <c r="C522" s="2">
        <v>75.419753086419746</v>
      </c>
    </row>
    <row r="523" spans="1:3" x14ac:dyDescent="0.3">
      <c r="A523" s="3" t="s">
        <v>120</v>
      </c>
      <c r="B523" s="2">
        <v>78.666666666666657</v>
      </c>
      <c r="C523" s="2">
        <v>75.089743589743577</v>
      </c>
    </row>
    <row r="524" spans="1:3" x14ac:dyDescent="0.3">
      <c r="A524" s="4" t="s">
        <v>149</v>
      </c>
      <c r="B524" s="2">
        <v>78.666666666666657</v>
      </c>
      <c r="C524" s="2">
        <v>75.089743589743577</v>
      </c>
    </row>
    <row r="525" spans="1:3" x14ac:dyDescent="0.3">
      <c r="A525" s="5" t="s">
        <v>158</v>
      </c>
      <c r="B525" s="2">
        <v>78.666666666666657</v>
      </c>
      <c r="C525" s="2">
        <v>75.089743589743577</v>
      </c>
    </row>
    <row r="526" spans="1:3" x14ac:dyDescent="0.3">
      <c r="A526" s="6" t="s">
        <v>170</v>
      </c>
      <c r="B526" s="2">
        <v>78.666666666666657</v>
      </c>
      <c r="C526" s="2">
        <v>75.089743589743577</v>
      </c>
    </row>
    <row r="527" spans="1:3" x14ac:dyDescent="0.3">
      <c r="A527" s="7" t="s">
        <v>166</v>
      </c>
      <c r="B527" s="2">
        <v>78.666666666666657</v>
      </c>
      <c r="C527" s="2">
        <v>75.089743589743577</v>
      </c>
    </row>
    <row r="528" spans="1:3" x14ac:dyDescent="0.3">
      <c r="A528" s="3" t="s">
        <v>121</v>
      </c>
      <c r="B528" s="2">
        <v>70.666666666666671</v>
      </c>
      <c r="C528" s="2">
        <v>74.946666666666658</v>
      </c>
    </row>
    <row r="529" spans="1:3" x14ac:dyDescent="0.3">
      <c r="A529" s="4" t="s">
        <v>152</v>
      </c>
      <c r="B529" s="2">
        <v>70.666666666666671</v>
      </c>
      <c r="C529" s="2">
        <v>74.946666666666658</v>
      </c>
    </row>
    <row r="530" spans="1:3" x14ac:dyDescent="0.3">
      <c r="A530" s="5" t="s">
        <v>159</v>
      </c>
      <c r="B530" s="2">
        <v>70.666666666666671</v>
      </c>
      <c r="C530" s="2">
        <v>74.946666666666658</v>
      </c>
    </row>
    <row r="531" spans="1:3" x14ac:dyDescent="0.3">
      <c r="A531" s="6" t="s">
        <v>170</v>
      </c>
      <c r="B531" s="2">
        <v>70.666666666666671</v>
      </c>
      <c r="C531" s="2">
        <v>74.946666666666658</v>
      </c>
    </row>
    <row r="532" spans="1:3" x14ac:dyDescent="0.3">
      <c r="A532" s="7" t="s">
        <v>166</v>
      </c>
      <c r="B532" s="2">
        <v>70.666666666666671</v>
      </c>
      <c r="C532" s="2">
        <v>74.946666666666658</v>
      </c>
    </row>
    <row r="533" spans="1:3" x14ac:dyDescent="0.3">
      <c r="A533" s="3" t="s">
        <v>122</v>
      </c>
      <c r="B533" s="2">
        <v>74.333333333333329</v>
      </c>
      <c r="C533" s="2">
        <v>75.125</v>
      </c>
    </row>
    <row r="534" spans="1:3" x14ac:dyDescent="0.3">
      <c r="A534" s="4" t="s">
        <v>148</v>
      </c>
      <c r="B534" s="2">
        <v>74.333333333333329</v>
      </c>
      <c r="C534" s="2">
        <v>75.125</v>
      </c>
    </row>
    <row r="535" spans="1:3" x14ac:dyDescent="0.3">
      <c r="A535" s="5" t="s">
        <v>158</v>
      </c>
      <c r="B535" s="2">
        <v>74.333333333333329</v>
      </c>
      <c r="C535" s="2">
        <v>75.125</v>
      </c>
    </row>
    <row r="536" spans="1:3" x14ac:dyDescent="0.3">
      <c r="A536" s="6" t="s">
        <v>170</v>
      </c>
      <c r="B536" s="2">
        <v>74.333333333333329</v>
      </c>
      <c r="C536" s="2">
        <v>75.125</v>
      </c>
    </row>
    <row r="537" spans="1:3" x14ac:dyDescent="0.3">
      <c r="A537" s="7" t="s">
        <v>166</v>
      </c>
      <c r="B537" s="2">
        <v>74.333333333333329</v>
      </c>
      <c r="C537" s="2">
        <v>75.125</v>
      </c>
    </row>
    <row r="538" spans="1:3" x14ac:dyDescent="0.3">
      <c r="A538" s="3" t="s">
        <v>123</v>
      </c>
      <c r="B538" s="2">
        <v>75</v>
      </c>
      <c r="C538" s="2">
        <v>75.159420289855063</v>
      </c>
    </row>
    <row r="539" spans="1:3" x14ac:dyDescent="0.3">
      <c r="A539" s="4" t="s">
        <v>151</v>
      </c>
      <c r="B539" s="2">
        <v>75</v>
      </c>
      <c r="C539" s="2">
        <v>75.159420289855063</v>
      </c>
    </row>
    <row r="540" spans="1:3" x14ac:dyDescent="0.3">
      <c r="A540" s="5" t="s">
        <v>158</v>
      </c>
      <c r="B540" s="2">
        <v>75</v>
      </c>
      <c r="C540" s="2">
        <v>75.159420289855063</v>
      </c>
    </row>
    <row r="541" spans="1:3" x14ac:dyDescent="0.3">
      <c r="A541" s="6" t="s">
        <v>170</v>
      </c>
      <c r="B541" s="2">
        <v>75</v>
      </c>
      <c r="C541" s="2">
        <v>75.159420289855063</v>
      </c>
    </row>
    <row r="542" spans="1:3" x14ac:dyDescent="0.3">
      <c r="A542" s="7" t="s">
        <v>166</v>
      </c>
      <c r="B542" s="2">
        <v>75</v>
      </c>
      <c r="C542" s="2">
        <v>75.159420289855063</v>
      </c>
    </row>
    <row r="543" spans="1:3" x14ac:dyDescent="0.3">
      <c r="A543" s="3" t="s">
        <v>124</v>
      </c>
      <c r="B543" s="2">
        <v>69</v>
      </c>
      <c r="C543" s="2">
        <v>75.166666666666657</v>
      </c>
    </row>
    <row r="544" spans="1:3" x14ac:dyDescent="0.3">
      <c r="A544" s="4" t="s">
        <v>150</v>
      </c>
      <c r="B544" s="2">
        <v>69</v>
      </c>
      <c r="C544" s="2">
        <v>75.166666666666657</v>
      </c>
    </row>
    <row r="545" spans="1:3" x14ac:dyDescent="0.3">
      <c r="A545" s="5" t="s">
        <v>159</v>
      </c>
      <c r="B545" s="2">
        <v>69</v>
      </c>
      <c r="C545" s="2">
        <v>75.166666666666657</v>
      </c>
    </row>
    <row r="546" spans="1:3" x14ac:dyDescent="0.3">
      <c r="A546" s="6" t="s">
        <v>169</v>
      </c>
      <c r="B546" s="2">
        <v>69</v>
      </c>
      <c r="C546" s="2">
        <v>75.166666666666657</v>
      </c>
    </row>
    <row r="547" spans="1:3" x14ac:dyDescent="0.3">
      <c r="A547" s="7" t="s">
        <v>166</v>
      </c>
      <c r="B547" s="2">
        <v>69</v>
      </c>
      <c r="C547" s="2">
        <v>75.166666666666657</v>
      </c>
    </row>
    <row r="548" spans="1:3" x14ac:dyDescent="0.3">
      <c r="A548" s="3" t="s">
        <v>125</v>
      </c>
      <c r="B548" s="2">
        <v>79.666666666666657</v>
      </c>
      <c r="C548" s="2">
        <v>75.460317460317455</v>
      </c>
    </row>
    <row r="549" spans="1:3" x14ac:dyDescent="0.3">
      <c r="A549" s="4" t="s">
        <v>152</v>
      </c>
      <c r="B549" s="2">
        <v>79.666666666666657</v>
      </c>
      <c r="C549" s="2">
        <v>75.460317460317455</v>
      </c>
    </row>
    <row r="550" spans="1:3" x14ac:dyDescent="0.3">
      <c r="A550" s="5" t="s">
        <v>159</v>
      </c>
      <c r="B550" s="2">
        <v>79.666666666666657</v>
      </c>
      <c r="C550" s="2">
        <v>75.460317460317455</v>
      </c>
    </row>
    <row r="551" spans="1:3" x14ac:dyDescent="0.3">
      <c r="A551" s="6" t="s">
        <v>170</v>
      </c>
      <c r="B551" s="2">
        <v>79.666666666666657</v>
      </c>
      <c r="C551" s="2">
        <v>75.460317460317455</v>
      </c>
    </row>
    <row r="552" spans="1:3" x14ac:dyDescent="0.3">
      <c r="A552" s="7" t="s">
        <v>166</v>
      </c>
      <c r="B552" s="2">
        <v>79.666666666666657</v>
      </c>
      <c r="C552" s="2">
        <v>75.460317460317455</v>
      </c>
    </row>
    <row r="553" spans="1:3" x14ac:dyDescent="0.3">
      <c r="A553" s="3" t="s">
        <v>126</v>
      </c>
      <c r="B553" s="2">
        <v>69.666666666666671</v>
      </c>
      <c r="C553" s="2">
        <v>75.25</v>
      </c>
    </row>
    <row r="554" spans="1:3" x14ac:dyDescent="0.3">
      <c r="A554" s="4" t="s">
        <v>149</v>
      </c>
      <c r="B554" s="2">
        <v>69.666666666666671</v>
      </c>
      <c r="C554" s="2">
        <v>75.25</v>
      </c>
    </row>
    <row r="555" spans="1:3" x14ac:dyDescent="0.3">
      <c r="A555" s="5" t="s">
        <v>158</v>
      </c>
      <c r="B555" s="2">
        <v>69.666666666666671</v>
      </c>
      <c r="C555" s="2">
        <v>75.25</v>
      </c>
    </row>
    <row r="556" spans="1:3" x14ac:dyDescent="0.3">
      <c r="A556" s="6" t="s">
        <v>169</v>
      </c>
      <c r="B556" s="2">
        <v>69.666666666666671</v>
      </c>
      <c r="C556" s="2">
        <v>75.25</v>
      </c>
    </row>
    <row r="557" spans="1:3" x14ac:dyDescent="0.3">
      <c r="A557" s="7" t="s">
        <v>166</v>
      </c>
      <c r="B557" s="2">
        <v>69.666666666666671</v>
      </c>
      <c r="C557" s="2">
        <v>75.25</v>
      </c>
    </row>
    <row r="558" spans="1:3" x14ac:dyDescent="0.3">
      <c r="A558" s="3" t="s">
        <v>127</v>
      </c>
      <c r="B558" s="2">
        <v>71</v>
      </c>
      <c r="C558" s="2">
        <v>75.543859649122808</v>
      </c>
    </row>
    <row r="559" spans="1:3" x14ac:dyDescent="0.3">
      <c r="A559" s="4" t="s">
        <v>150</v>
      </c>
      <c r="B559" s="2">
        <v>71</v>
      </c>
      <c r="C559" s="2">
        <v>75.543859649122808</v>
      </c>
    </row>
    <row r="560" spans="1:3" x14ac:dyDescent="0.3">
      <c r="A560" s="5" t="s">
        <v>158</v>
      </c>
      <c r="B560" s="2">
        <v>71</v>
      </c>
      <c r="C560" s="2">
        <v>75.543859649122808</v>
      </c>
    </row>
    <row r="561" spans="1:3" x14ac:dyDescent="0.3">
      <c r="A561" s="6" t="s">
        <v>170</v>
      </c>
      <c r="B561" s="2">
        <v>71</v>
      </c>
      <c r="C561" s="2">
        <v>75.543859649122808</v>
      </c>
    </row>
    <row r="562" spans="1:3" x14ac:dyDescent="0.3">
      <c r="A562" s="7" t="s">
        <v>166</v>
      </c>
      <c r="B562" s="2">
        <v>71</v>
      </c>
      <c r="C562" s="2">
        <v>75.543859649122808</v>
      </c>
    </row>
    <row r="563" spans="1:3" x14ac:dyDescent="0.3">
      <c r="A563" s="3" t="s">
        <v>128</v>
      </c>
      <c r="B563" s="2">
        <v>70.666666666666671</v>
      </c>
      <c r="C563" s="2">
        <v>75.796296296296291</v>
      </c>
    </row>
    <row r="564" spans="1:3" x14ac:dyDescent="0.3">
      <c r="A564" s="4" t="s">
        <v>151</v>
      </c>
      <c r="B564" s="2">
        <v>70.666666666666671</v>
      </c>
      <c r="C564" s="2">
        <v>75.796296296296291</v>
      </c>
    </row>
    <row r="565" spans="1:3" x14ac:dyDescent="0.3">
      <c r="A565" s="5" t="s">
        <v>159</v>
      </c>
      <c r="B565" s="2">
        <v>70.666666666666671</v>
      </c>
      <c r="C565" s="2">
        <v>75.796296296296291</v>
      </c>
    </row>
    <row r="566" spans="1:3" x14ac:dyDescent="0.3">
      <c r="A566" s="6" t="s">
        <v>170</v>
      </c>
      <c r="B566" s="2">
        <v>70.666666666666671</v>
      </c>
      <c r="C566" s="2">
        <v>75.796296296296291</v>
      </c>
    </row>
    <row r="567" spans="1:3" x14ac:dyDescent="0.3">
      <c r="A567" s="7" t="s">
        <v>166</v>
      </c>
      <c r="B567" s="2">
        <v>70.666666666666671</v>
      </c>
      <c r="C567" s="2">
        <v>75.796296296296291</v>
      </c>
    </row>
    <row r="568" spans="1:3" x14ac:dyDescent="0.3">
      <c r="A568" s="3" t="s">
        <v>129</v>
      </c>
      <c r="B568" s="2">
        <v>90</v>
      </c>
      <c r="C568" s="2">
        <v>76.098039215686285</v>
      </c>
    </row>
    <row r="569" spans="1:3" x14ac:dyDescent="0.3">
      <c r="A569" s="4" t="s">
        <v>149</v>
      </c>
      <c r="B569" s="2">
        <v>90</v>
      </c>
      <c r="C569" s="2">
        <v>76.098039215686285</v>
      </c>
    </row>
    <row r="570" spans="1:3" x14ac:dyDescent="0.3">
      <c r="A570" s="5" t="s">
        <v>159</v>
      </c>
      <c r="B570" s="2">
        <v>90</v>
      </c>
      <c r="C570" s="2">
        <v>76.098039215686285</v>
      </c>
    </row>
    <row r="571" spans="1:3" x14ac:dyDescent="0.3">
      <c r="A571" s="6" t="s">
        <v>168</v>
      </c>
      <c r="B571" s="2">
        <v>90</v>
      </c>
      <c r="C571" s="2">
        <v>76.098039215686285</v>
      </c>
    </row>
    <row r="572" spans="1:3" x14ac:dyDescent="0.3">
      <c r="A572" s="7" t="s">
        <v>166</v>
      </c>
      <c r="B572" s="2">
        <v>90</v>
      </c>
      <c r="C572" s="2">
        <v>76.098039215686285</v>
      </c>
    </row>
    <row r="573" spans="1:3" x14ac:dyDescent="0.3">
      <c r="A573" s="3" t="s">
        <v>130</v>
      </c>
      <c r="B573" s="2">
        <v>86.333333333333329</v>
      </c>
      <c r="C573" s="2">
        <v>75.229166666666671</v>
      </c>
    </row>
    <row r="574" spans="1:3" x14ac:dyDescent="0.3">
      <c r="A574" s="4" t="s">
        <v>152</v>
      </c>
      <c r="B574" s="2">
        <v>86.333333333333329</v>
      </c>
      <c r="C574" s="2">
        <v>75.229166666666671</v>
      </c>
    </row>
    <row r="575" spans="1:3" x14ac:dyDescent="0.3">
      <c r="A575" s="5" t="s">
        <v>158</v>
      </c>
      <c r="B575" s="2">
        <v>86.333333333333329</v>
      </c>
      <c r="C575" s="2">
        <v>75.229166666666671</v>
      </c>
    </row>
    <row r="576" spans="1:3" x14ac:dyDescent="0.3">
      <c r="A576" s="6" t="s">
        <v>168</v>
      </c>
      <c r="B576" s="2">
        <v>86.333333333333329</v>
      </c>
      <c r="C576" s="2">
        <v>75.229166666666671</v>
      </c>
    </row>
    <row r="577" spans="1:3" x14ac:dyDescent="0.3">
      <c r="A577" s="7" t="s">
        <v>166</v>
      </c>
      <c r="B577" s="2">
        <v>86.333333333333329</v>
      </c>
      <c r="C577" s="2">
        <v>75.229166666666671</v>
      </c>
    </row>
    <row r="578" spans="1:3" x14ac:dyDescent="0.3">
      <c r="A578" s="3" t="s">
        <v>131</v>
      </c>
      <c r="B578" s="2">
        <v>82</v>
      </c>
      <c r="C578" s="2">
        <v>74.488888888888894</v>
      </c>
    </row>
    <row r="579" spans="1:3" x14ac:dyDescent="0.3">
      <c r="A579" s="4" t="s">
        <v>148</v>
      </c>
      <c r="B579" s="2">
        <v>82</v>
      </c>
      <c r="C579" s="2">
        <v>74.488888888888894</v>
      </c>
    </row>
    <row r="580" spans="1:3" x14ac:dyDescent="0.3">
      <c r="A580" s="5" t="s">
        <v>159</v>
      </c>
      <c r="B580" s="2">
        <v>82</v>
      </c>
      <c r="C580" s="2">
        <v>74.488888888888894</v>
      </c>
    </row>
    <row r="581" spans="1:3" x14ac:dyDescent="0.3">
      <c r="A581" s="6" t="s">
        <v>168</v>
      </c>
      <c r="B581" s="2">
        <v>82</v>
      </c>
      <c r="C581" s="2">
        <v>74.488888888888894</v>
      </c>
    </row>
    <row r="582" spans="1:3" x14ac:dyDescent="0.3">
      <c r="A582" s="7" t="s">
        <v>166</v>
      </c>
      <c r="B582" s="2">
        <v>82</v>
      </c>
      <c r="C582" s="2">
        <v>74.488888888888894</v>
      </c>
    </row>
    <row r="583" spans="1:3" x14ac:dyDescent="0.3">
      <c r="A583" s="3" t="s">
        <v>132</v>
      </c>
      <c r="B583" s="2">
        <v>62.333333333333329</v>
      </c>
      <c r="C583" s="2">
        <v>73.952380952380949</v>
      </c>
    </row>
    <row r="584" spans="1:3" x14ac:dyDescent="0.3">
      <c r="A584" s="4" t="s">
        <v>151</v>
      </c>
      <c r="B584" s="2">
        <v>62.333333333333329</v>
      </c>
      <c r="C584" s="2">
        <v>73.952380952380949</v>
      </c>
    </row>
    <row r="585" spans="1:3" x14ac:dyDescent="0.3">
      <c r="A585" s="5" t="s">
        <v>158</v>
      </c>
      <c r="B585" s="2">
        <v>62.333333333333329</v>
      </c>
      <c r="C585" s="2">
        <v>73.952380952380949</v>
      </c>
    </row>
    <row r="586" spans="1:3" x14ac:dyDescent="0.3">
      <c r="A586" s="6" t="s">
        <v>169</v>
      </c>
      <c r="B586" s="2">
        <v>62.333333333333329</v>
      </c>
      <c r="C586" s="2">
        <v>73.952380952380949</v>
      </c>
    </row>
    <row r="587" spans="1:3" x14ac:dyDescent="0.3">
      <c r="A587" s="7" t="s">
        <v>166</v>
      </c>
      <c r="B587" s="2">
        <v>62.333333333333329</v>
      </c>
      <c r="C587" s="2">
        <v>73.952380952380949</v>
      </c>
    </row>
    <row r="588" spans="1:3" x14ac:dyDescent="0.3">
      <c r="A588" s="3" t="s">
        <v>133</v>
      </c>
      <c r="B588" s="2">
        <v>65.333333333333329</v>
      </c>
      <c r="C588" s="2">
        <v>74.84615384615384</v>
      </c>
    </row>
    <row r="589" spans="1:3" x14ac:dyDescent="0.3">
      <c r="A589" s="4" t="s">
        <v>149</v>
      </c>
      <c r="B589" s="2">
        <v>65.333333333333329</v>
      </c>
      <c r="C589" s="2">
        <v>74.84615384615384</v>
      </c>
    </row>
    <row r="590" spans="1:3" x14ac:dyDescent="0.3">
      <c r="A590" s="5" t="s">
        <v>158</v>
      </c>
      <c r="B590" s="2">
        <v>65.333333333333329</v>
      </c>
      <c r="C590" s="2">
        <v>74.84615384615384</v>
      </c>
    </row>
    <row r="591" spans="1:3" x14ac:dyDescent="0.3">
      <c r="A591" s="6" t="s">
        <v>169</v>
      </c>
      <c r="B591" s="2">
        <v>65.333333333333329</v>
      </c>
      <c r="C591" s="2">
        <v>74.84615384615384</v>
      </c>
    </row>
    <row r="592" spans="1:3" x14ac:dyDescent="0.3">
      <c r="A592" s="7" t="s">
        <v>166</v>
      </c>
      <c r="B592" s="2">
        <v>65.333333333333329</v>
      </c>
      <c r="C592" s="2">
        <v>74.84615384615384</v>
      </c>
    </row>
    <row r="593" spans="1:3" x14ac:dyDescent="0.3">
      <c r="A593" s="3" t="s">
        <v>134</v>
      </c>
      <c r="B593" s="2">
        <v>82</v>
      </c>
      <c r="C593" s="2">
        <v>75.638888888888886</v>
      </c>
    </row>
    <row r="594" spans="1:3" x14ac:dyDescent="0.3">
      <c r="A594" s="4" t="s">
        <v>150</v>
      </c>
      <c r="B594" s="2">
        <v>82</v>
      </c>
      <c r="C594" s="2">
        <v>75.638888888888886</v>
      </c>
    </row>
    <row r="595" spans="1:3" x14ac:dyDescent="0.3">
      <c r="A595" s="5" t="s">
        <v>159</v>
      </c>
      <c r="B595" s="2">
        <v>82</v>
      </c>
      <c r="C595" s="2">
        <v>75.638888888888886</v>
      </c>
    </row>
    <row r="596" spans="1:3" x14ac:dyDescent="0.3">
      <c r="A596" s="6" t="s">
        <v>168</v>
      </c>
      <c r="B596" s="2">
        <v>82</v>
      </c>
      <c r="C596" s="2">
        <v>75.638888888888886</v>
      </c>
    </row>
    <row r="597" spans="1:3" x14ac:dyDescent="0.3">
      <c r="A597" s="7" t="s">
        <v>166</v>
      </c>
      <c r="B597" s="2">
        <v>82</v>
      </c>
      <c r="C597" s="2">
        <v>75.638888888888886</v>
      </c>
    </row>
    <row r="598" spans="1:3" x14ac:dyDescent="0.3">
      <c r="A598" s="3" t="s">
        <v>135</v>
      </c>
      <c r="B598" s="2">
        <v>79.666666666666657</v>
      </c>
      <c r="C598" s="2">
        <v>75.060606060606062</v>
      </c>
    </row>
    <row r="599" spans="1:3" x14ac:dyDescent="0.3">
      <c r="A599" s="4" t="s">
        <v>149</v>
      </c>
      <c r="B599" s="2">
        <v>79.666666666666657</v>
      </c>
      <c r="C599" s="2">
        <v>75.060606060606062</v>
      </c>
    </row>
    <row r="600" spans="1:3" x14ac:dyDescent="0.3">
      <c r="A600" s="5" t="s">
        <v>159</v>
      </c>
      <c r="B600" s="2">
        <v>79.666666666666657</v>
      </c>
      <c r="C600" s="2">
        <v>75.060606060606062</v>
      </c>
    </row>
    <row r="601" spans="1:3" x14ac:dyDescent="0.3">
      <c r="A601" s="6" t="s">
        <v>170</v>
      </c>
      <c r="B601" s="2">
        <v>79.666666666666657</v>
      </c>
      <c r="C601" s="2">
        <v>75.060606060606062</v>
      </c>
    </row>
    <row r="602" spans="1:3" x14ac:dyDescent="0.3">
      <c r="A602" s="7" t="s">
        <v>166</v>
      </c>
      <c r="B602" s="2">
        <v>79.666666666666657</v>
      </c>
      <c r="C602" s="2">
        <v>75.060606060606062</v>
      </c>
    </row>
    <row r="603" spans="1:3" x14ac:dyDescent="0.3">
      <c r="A603" s="3" t="s">
        <v>136</v>
      </c>
      <c r="B603" s="2">
        <v>70.333333333333343</v>
      </c>
      <c r="C603" s="2">
        <v>74.599999999999994</v>
      </c>
    </row>
    <row r="604" spans="1:3" x14ac:dyDescent="0.3">
      <c r="A604" s="4" t="s">
        <v>152</v>
      </c>
      <c r="B604" s="2">
        <v>70.333333333333343</v>
      </c>
      <c r="C604" s="2">
        <v>74.599999999999994</v>
      </c>
    </row>
    <row r="605" spans="1:3" x14ac:dyDescent="0.3">
      <c r="A605" s="5" t="s">
        <v>158</v>
      </c>
      <c r="B605" s="2">
        <v>70.333333333333343</v>
      </c>
      <c r="C605" s="2">
        <v>74.599999999999994</v>
      </c>
    </row>
    <row r="606" spans="1:3" x14ac:dyDescent="0.3">
      <c r="A606" s="6" t="s">
        <v>170</v>
      </c>
      <c r="B606" s="2">
        <v>70.333333333333343</v>
      </c>
      <c r="C606" s="2">
        <v>74.599999999999994</v>
      </c>
    </row>
    <row r="607" spans="1:3" x14ac:dyDescent="0.3">
      <c r="A607" s="7" t="s">
        <v>166</v>
      </c>
      <c r="B607" s="2">
        <v>70.333333333333343</v>
      </c>
      <c r="C607" s="2">
        <v>74.599999999999994</v>
      </c>
    </row>
    <row r="608" spans="1:3" x14ac:dyDescent="0.3">
      <c r="A608" s="3" t="s">
        <v>137</v>
      </c>
      <c r="B608" s="2">
        <v>83</v>
      </c>
      <c r="C608" s="2">
        <v>75.074074074074076</v>
      </c>
    </row>
    <row r="609" spans="1:3" x14ac:dyDescent="0.3">
      <c r="A609" s="4" t="s">
        <v>149</v>
      </c>
      <c r="B609" s="2">
        <v>83</v>
      </c>
      <c r="C609" s="2">
        <v>75.074074074074076</v>
      </c>
    </row>
    <row r="610" spans="1:3" x14ac:dyDescent="0.3">
      <c r="A610" s="5" t="s">
        <v>159</v>
      </c>
      <c r="B610" s="2">
        <v>83</v>
      </c>
      <c r="C610" s="2">
        <v>75.074074074074076</v>
      </c>
    </row>
    <row r="611" spans="1:3" x14ac:dyDescent="0.3">
      <c r="A611" s="6" t="s">
        <v>168</v>
      </c>
      <c r="B611" s="2">
        <v>83</v>
      </c>
      <c r="C611" s="2">
        <v>75.074074074074076</v>
      </c>
    </row>
    <row r="612" spans="1:3" x14ac:dyDescent="0.3">
      <c r="A612" s="7" t="s">
        <v>166</v>
      </c>
      <c r="B612" s="2">
        <v>83</v>
      </c>
      <c r="C612" s="2">
        <v>75.074074074074076</v>
      </c>
    </row>
    <row r="613" spans="1:3" x14ac:dyDescent="0.3">
      <c r="A613" s="3" t="s">
        <v>138</v>
      </c>
      <c r="B613" s="2">
        <v>62.333333333333329</v>
      </c>
      <c r="C613" s="2">
        <v>74.083333333333314</v>
      </c>
    </row>
    <row r="614" spans="1:3" x14ac:dyDescent="0.3">
      <c r="A614" s="4" t="s">
        <v>151</v>
      </c>
      <c r="B614" s="2">
        <v>62.333333333333329</v>
      </c>
      <c r="C614" s="2">
        <v>74.083333333333314</v>
      </c>
    </row>
    <row r="615" spans="1:3" x14ac:dyDescent="0.3">
      <c r="A615" s="5" t="s">
        <v>159</v>
      </c>
      <c r="B615" s="2">
        <v>62.333333333333329</v>
      </c>
      <c r="C615" s="2">
        <v>74.083333333333314</v>
      </c>
    </row>
    <row r="616" spans="1:3" x14ac:dyDescent="0.3">
      <c r="A616" s="6" t="s">
        <v>169</v>
      </c>
      <c r="B616" s="2">
        <v>62.333333333333329</v>
      </c>
      <c r="C616" s="2">
        <v>74.083333333333314</v>
      </c>
    </row>
    <row r="617" spans="1:3" x14ac:dyDescent="0.3">
      <c r="A617" s="7" t="s">
        <v>166</v>
      </c>
      <c r="B617" s="2">
        <v>62.333333333333329</v>
      </c>
      <c r="C617" s="2">
        <v>74.083333333333314</v>
      </c>
    </row>
    <row r="618" spans="1:3" x14ac:dyDescent="0.3">
      <c r="A618" s="3" t="s">
        <v>139</v>
      </c>
      <c r="B618" s="2">
        <v>75.333333333333329</v>
      </c>
      <c r="C618" s="2">
        <v>75.761904761904745</v>
      </c>
    </row>
    <row r="619" spans="1:3" x14ac:dyDescent="0.3">
      <c r="A619" s="4" t="s">
        <v>150</v>
      </c>
      <c r="B619" s="2">
        <v>75.333333333333329</v>
      </c>
      <c r="C619" s="2">
        <v>75.761904761904745</v>
      </c>
    </row>
    <row r="620" spans="1:3" x14ac:dyDescent="0.3">
      <c r="A620" s="5" t="s">
        <v>158</v>
      </c>
      <c r="B620" s="2">
        <v>75.333333333333329</v>
      </c>
      <c r="C620" s="2">
        <v>75.761904761904745</v>
      </c>
    </row>
    <row r="621" spans="1:3" x14ac:dyDescent="0.3">
      <c r="A621" s="6" t="s">
        <v>170</v>
      </c>
      <c r="B621" s="2">
        <v>75.333333333333329</v>
      </c>
      <c r="C621" s="2">
        <v>75.761904761904745</v>
      </c>
    </row>
    <row r="622" spans="1:3" x14ac:dyDescent="0.3">
      <c r="A622" s="7" t="s">
        <v>166</v>
      </c>
      <c r="B622" s="2">
        <v>75.333333333333329</v>
      </c>
      <c r="C622" s="2">
        <v>75.761904761904745</v>
      </c>
    </row>
    <row r="623" spans="1:3" x14ac:dyDescent="0.3">
      <c r="A623" s="3" t="s">
        <v>140</v>
      </c>
      <c r="B623" s="2">
        <v>67.666666666666657</v>
      </c>
      <c r="C623" s="2">
        <v>75.833333333333343</v>
      </c>
    </row>
    <row r="624" spans="1:3" x14ac:dyDescent="0.3">
      <c r="A624" s="4" t="s">
        <v>152</v>
      </c>
      <c r="B624" s="2">
        <v>67.666666666666657</v>
      </c>
      <c r="C624" s="2">
        <v>75.833333333333343</v>
      </c>
    </row>
    <row r="625" spans="1:3" x14ac:dyDescent="0.3">
      <c r="A625" s="5" t="s">
        <v>159</v>
      </c>
      <c r="B625" s="2">
        <v>67.666666666666657</v>
      </c>
      <c r="C625" s="2">
        <v>75.833333333333343</v>
      </c>
    </row>
    <row r="626" spans="1:3" x14ac:dyDescent="0.3">
      <c r="A626" s="6" t="s">
        <v>169</v>
      </c>
      <c r="B626" s="2">
        <v>67.666666666666657</v>
      </c>
      <c r="C626" s="2">
        <v>75.833333333333343</v>
      </c>
    </row>
    <row r="627" spans="1:3" x14ac:dyDescent="0.3">
      <c r="A627" s="7" t="s">
        <v>166</v>
      </c>
      <c r="B627" s="2">
        <v>67.666666666666657</v>
      </c>
      <c r="C627" s="2">
        <v>75.833333333333343</v>
      </c>
    </row>
    <row r="628" spans="1:3" x14ac:dyDescent="0.3">
      <c r="A628" s="3" t="s">
        <v>141</v>
      </c>
      <c r="B628" s="2">
        <v>77.333333333333329</v>
      </c>
      <c r="C628" s="2">
        <v>77.466666666666669</v>
      </c>
    </row>
    <row r="629" spans="1:3" x14ac:dyDescent="0.3">
      <c r="A629" s="4" t="s">
        <v>148</v>
      </c>
      <c r="B629" s="2">
        <v>77.333333333333329</v>
      </c>
      <c r="C629" s="2">
        <v>77.466666666666669</v>
      </c>
    </row>
    <row r="630" spans="1:3" x14ac:dyDescent="0.3">
      <c r="A630" s="5" t="s">
        <v>158</v>
      </c>
      <c r="B630" s="2">
        <v>77.333333333333329</v>
      </c>
      <c r="C630" s="2">
        <v>77.466666666666669</v>
      </c>
    </row>
    <row r="631" spans="1:3" x14ac:dyDescent="0.3">
      <c r="A631" s="6" t="s">
        <v>170</v>
      </c>
      <c r="B631" s="2">
        <v>77.333333333333329</v>
      </c>
      <c r="C631" s="2">
        <v>77.466666666666669</v>
      </c>
    </row>
    <row r="632" spans="1:3" x14ac:dyDescent="0.3">
      <c r="A632" s="7" t="s">
        <v>166</v>
      </c>
      <c r="B632" s="2">
        <v>77.333333333333329</v>
      </c>
      <c r="C632" s="2">
        <v>77.466666666666669</v>
      </c>
    </row>
    <row r="633" spans="1:3" x14ac:dyDescent="0.3">
      <c r="A633" s="3" t="s">
        <v>142</v>
      </c>
      <c r="B633" s="2">
        <v>77.666666666666657</v>
      </c>
      <c r="C633" s="2">
        <v>77.5</v>
      </c>
    </row>
    <row r="634" spans="1:3" x14ac:dyDescent="0.3">
      <c r="A634" s="4" t="s">
        <v>151</v>
      </c>
      <c r="B634" s="2">
        <v>77.666666666666657</v>
      </c>
      <c r="C634" s="2">
        <v>77.5</v>
      </c>
    </row>
    <row r="635" spans="1:3" x14ac:dyDescent="0.3">
      <c r="A635" s="5" t="s">
        <v>158</v>
      </c>
      <c r="B635" s="2">
        <v>77.666666666666657</v>
      </c>
      <c r="C635" s="2">
        <v>77.5</v>
      </c>
    </row>
    <row r="636" spans="1:3" x14ac:dyDescent="0.3">
      <c r="A636" s="6" t="s">
        <v>170</v>
      </c>
      <c r="B636" s="2">
        <v>77.666666666666657</v>
      </c>
      <c r="C636" s="2">
        <v>77.5</v>
      </c>
    </row>
    <row r="637" spans="1:3" x14ac:dyDescent="0.3">
      <c r="A637" s="7" t="s">
        <v>166</v>
      </c>
      <c r="B637" s="2">
        <v>77.666666666666657</v>
      </c>
      <c r="C637" s="2">
        <v>77.5</v>
      </c>
    </row>
    <row r="638" spans="1:3" x14ac:dyDescent="0.3">
      <c r="A638" s="3" t="s">
        <v>143</v>
      </c>
      <c r="B638" s="2">
        <v>78.333333333333329</v>
      </c>
      <c r="C638" s="2">
        <v>77.444444444444457</v>
      </c>
    </row>
    <row r="639" spans="1:3" x14ac:dyDescent="0.3">
      <c r="A639" s="4" t="s">
        <v>149</v>
      </c>
      <c r="B639" s="2">
        <v>78.333333333333329</v>
      </c>
      <c r="C639" s="2">
        <v>77.444444444444457</v>
      </c>
    </row>
    <row r="640" spans="1:3" x14ac:dyDescent="0.3">
      <c r="A640" s="5" t="s">
        <v>159</v>
      </c>
      <c r="B640" s="2">
        <v>78.333333333333329</v>
      </c>
      <c r="C640" s="2">
        <v>77.444444444444457</v>
      </c>
    </row>
    <row r="641" spans="1:3" x14ac:dyDescent="0.3">
      <c r="A641" s="6" t="s">
        <v>170</v>
      </c>
      <c r="B641" s="2">
        <v>78.333333333333329</v>
      </c>
      <c r="C641" s="2">
        <v>77.444444444444457</v>
      </c>
    </row>
    <row r="642" spans="1:3" x14ac:dyDescent="0.3">
      <c r="A642" s="7" t="s">
        <v>166</v>
      </c>
      <c r="B642" s="2">
        <v>78.333333333333329</v>
      </c>
      <c r="C642" s="2">
        <v>77.444444444444457</v>
      </c>
    </row>
    <row r="643" spans="1:3" x14ac:dyDescent="0.3">
      <c r="A643" s="3" t="s">
        <v>144</v>
      </c>
      <c r="B643" s="2">
        <v>71.333333333333343</v>
      </c>
      <c r="C643" s="2">
        <v>77</v>
      </c>
    </row>
    <row r="644" spans="1:3" x14ac:dyDescent="0.3">
      <c r="A644" s="4" t="s">
        <v>150</v>
      </c>
      <c r="B644" s="2">
        <v>71.333333333333343</v>
      </c>
      <c r="C644" s="2">
        <v>77</v>
      </c>
    </row>
    <row r="645" spans="1:3" x14ac:dyDescent="0.3">
      <c r="A645" s="5" t="s">
        <v>159</v>
      </c>
      <c r="B645" s="2">
        <v>71.333333333333343</v>
      </c>
      <c r="C645" s="2">
        <v>77</v>
      </c>
    </row>
    <row r="646" spans="1:3" x14ac:dyDescent="0.3">
      <c r="A646" s="6" t="s">
        <v>170</v>
      </c>
      <c r="B646" s="2">
        <v>71.333333333333343</v>
      </c>
      <c r="C646" s="2">
        <v>77</v>
      </c>
    </row>
    <row r="647" spans="1:3" x14ac:dyDescent="0.3">
      <c r="A647" s="7" t="s">
        <v>166</v>
      </c>
      <c r="B647" s="2">
        <v>71.333333333333343</v>
      </c>
      <c r="C647" s="2">
        <v>77</v>
      </c>
    </row>
    <row r="648" spans="1:3" x14ac:dyDescent="0.3">
      <c r="A648" s="3" t="s">
        <v>145</v>
      </c>
      <c r="B648" s="2">
        <v>82.666666666666671</v>
      </c>
      <c r="C648" s="2">
        <v>82.666666666666671</v>
      </c>
    </row>
    <row r="649" spans="1:3" x14ac:dyDescent="0.3">
      <c r="A649" s="4" t="s">
        <v>149</v>
      </c>
      <c r="B649" s="2">
        <v>82.666666666666671</v>
      </c>
      <c r="C649" s="2">
        <v>82.666666666666671</v>
      </c>
    </row>
    <row r="650" spans="1:3" x14ac:dyDescent="0.3">
      <c r="A650" s="5" t="s">
        <v>158</v>
      </c>
      <c r="B650" s="2">
        <v>82.666666666666671</v>
      </c>
      <c r="C650" s="2">
        <v>82.666666666666671</v>
      </c>
    </row>
    <row r="651" spans="1:3" x14ac:dyDescent="0.3">
      <c r="A651" s="6" t="s">
        <v>168</v>
      </c>
      <c r="B651" s="2">
        <v>82.666666666666671</v>
      </c>
      <c r="C651" s="2">
        <v>82.666666666666671</v>
      </c>
    </row>
    <row r="652" spans="1:3" x14ac:dyDescent="0.3">
      <c r="A652" s="7" t="s">
        <v>166</v>
      </c>
      <c r="B652" s="2">
        <v>82.666666666666671</v>
      </c>
      <c r="C652" s="2">
        <v>82.666666666666671</v>
      </c>
    </row>
    <row r="653" spans="1:3" x14ac:dyDescent="0.3">
      <c r="A653" s="3" t="s">
        <v>161</v>
      </c>
      <c r="B653" s="2">
        <v>9823.0000000000036</v>
      </c>
      <c r="C653" s="2">
        <v>9833.5521480527841</v>
      </c>
    </row>
  </sheetData>
  <mergeCells count="2">
    <mergeCell ref="E1:H1"/>
    <mergeCell ref="A1:C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nandinichettipalli@gmail.com</dc:creator>
  <cp:lastModifiedBy>Umamaheshwari R</cp:lastModifiedBy>
  <dcterms:created xsi:type="dcterms:W3CDTF">2026-02-11T11:06:13Z</dcterms:created>
  <dcterms:modified xsi:type="dcterms:W3CDTF">2026-05-29T07:10:06Z</dcterms:modified>
</cp:coreProperties>
</file>